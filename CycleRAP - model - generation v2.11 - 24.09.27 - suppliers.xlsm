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73B2839-AC87-7CC4-5C0F-16DCB9831742}"/>
  <workbookPr codeName="ThisWorkbook"/>
  <mc:AlternateContent xmlns:mc="http://schemas.openxmlformats.org/markup-compatibility/2006">
    <mc:Choice Requires="x15">
      <x15ac:absPath xmlns:x15ac="http://schemas.microsoft.com/office/spreadsheetml/2010/11/ac" url="C:\Users\lta_kohpp\Desktop\PP\Walkability workgroup\specialist work\Research projects\CycleRAP\"/>
    </mc:Choice>
  </mc:AlternateContent>
  <xr:revisionPtr revIDLastSave="0" documentId="13_ncr:1_{B81D2969-CEC8-4225-8D19-C9860B011772}" xr6:coauthVersionLast="47" xr6:coauthVersionMax="47" xr10:uidLastSave="{00000000-0000-0000-0000-000000000000}"/>
  <workbookProtection workbookAlgorithmName="SHA-512" workbookHashValue="EMs55/tZmroaSVQlSxlq8KCi9CNCOaoXuIA+DNMnhNinFl6DufSxWJ1dO/+9ODRTWDSgUR76bsr1GH/zqO3gdA==" workbookSaltValue="41SCvri+Gwa5Mbo6QRzEZg==" workbookSpinCount="100000" lockStructure="1"/>
  <bookViews>
    <workbookView xWindow="-108" yWindow="-108" windowWidth="23256" windowHeight="12456" tabRatio="756" firstSheet="1" activeTab="4" xr2:uid="{00000000-000D-0000-FFFF-FFFF00000000}"/>
  </bookViews>
  <sheets>
    <sheet name="Front page" sheetId="13" r:id="rId1"/>
    <sheet name="Upload_data" sheetId="27" r:id="rId2"/>
    <sheet name="Demonstrator" sheetId="43" r:id="rId3"/>
    <sheet name="Results" sheetId="45" r:id="rId4"/>
    <sheet name="CycleRAP Model" sheetId="14" r:id="rId5"/>
    <sheet name="Validation Rules" sheetId="51" r:id="rId6"/>
    <sheet name="STM Results" sheetId="48" r:id="rId7"/>
    <sheet name="STM" sheetId="47" r:id="rId8"/>
    <sheet name="Automation_page" sheetId="28" state="hidden" r:id="rId9"/>
    <sheet name="Upload spec" sheetId="11" r:id="rId10"/>
    <sheet name="Terms and conditions" sheetId="42" r:id="rId11"/>
    <sheet name="Model Updates - 28.06.24" sheetId="44" r:id="rId12"/>
    <sheet name="Speed risk factors" sheetId="50" state="hidden" r:id="rId13"/>
  </sheets>
  <externalReferences>
    <externalReference r:id="rId14"/>
  </externalReferences>
  <definedNames>
    <definedName name="_xlnm._FilterDatabase" localSheetId="3" hidden="1">Results!$A$1:$BX$7955</definedName>
    <definedName name="_xlnm._FilterDatabase" localSheetId="6" hidden="1">'STM Results'!$A$1:$P$1</definedName>
    <definedName name="_xlnm._FilterDatabase" localSheetId="9" hidden="1">'Upload spec'!$A$2:$K$105</definedName>
    <definedName name="_xlnm._FilterDatabase" localSheetId="1" hidden="1">Upload_data!$A$1:$BB$1</definedName>
    <definedName name="Access">[1]Control!$D$232:$D$235</definedName>
    <definedName name="AreaType">[1]Control!$D$67:$D$68</definedName>
    <definedName name="bike_target">[1]Control!$D$490:$D$495</definedName>
    <definedName name="BikeFac">[1]Control!$D$323:$D$329</definedName>
    <definedName name="Car_target">[1]Control!$D$472:$D$477</definedName>
    <definedName name="Centreline_rumble_strip">[1]Control!$D$149:$D$150</definedName>
    <definedName name="Channelisation">[1]Control!$D$220:$D$221</definedName>
    <definedName name="Cost">[1]Control!$D$20:$D$22</definedName>
    <definedName name="Curve">[1]Control!$D$245:$D$248</definedName>
    <definedName name="CurveQ">[1]Control!$D$249:$D$251</definedName>
    <definedName name="Cway">[1]Control!$D$15:$D$19</definedName>
    <definedName name="Delineation">[1]Control!$D$265:$D$266</definedName>
    <definedName name="Differenetial_speed_limit">[1]Control!$D$132:$D$133</definedName>
    <definedName name="Grade">[1]Control!$D$252:$D$256</definedName>
    <definedName name="Grip">[1]Control!$D$260:$D$264</definedName>
    <definedName name="IntFlow">[1]Control!$D$222:$D$228</definedName>
    <definedName name="IntQu">[1]Control!$D$229:$D$231</definedName>
    <definedName name="IntType">[1]Control!$D$203:$D$219</definedName>
    <definedName name="LandLeft">[1]Control!$D$60:$D$66</definedName>
    <definedName name="LandRight">[1]Control!$D$53:$D$59</definedName>
    <definedName name="LaneWidth">[1]Control!$D$242:$D$244</definedName>
    <definedName name="LeftDistance">[1]Control!$D$172:$D$175</definedName>
    <definedName name="LeftObject">[1]Control!$D$176:$D$192</definedName>
    <definedName name="Lighting">[1]Control!$D$267:$D$268</definedName>
    <definedName name="mc_observed_flow">[1]Control!$D$23:$D$28</definedName>
    <definedName name="mc_target">[1]Control!$D$478:$D$483</definedName>
    <definedName name="McFac">[1]Control!$D$317:$D$322</definedName>
    <definedName name="McFlow">[1]Control!$D$336:$D$345</definedName>
    <definedName name="Median">[1]Control!$D$134:$D$148</definedName>
    <definedName name="NmtFlow">[1]Control!$D$29:$D$34</definedName>
    <definedName name="NumberLanes">[1]Control!$D$236:$D$241</definedName>
    <definedName name="oCarriageway">'CycleRAP Model'!$G$17:$G$21</definedName>
    <definedName name="Ped_daily_flow_accross">[1]Control!$D$346:$D$356</definedName>
    <definedName name="Ped_target">[1]Control!$D$484:$D$489</definedName>
    <definedName name="Pedestrian_crossing_side_road">[1]Control!$D$283:$D$293</definedName>
    <definedName name="Pedestrian_fencing">[1]Control!$D$294:$D$295</definedName>
    <definedName name="PedFlowAlong">[1]Control!$D$41:$D$46</definedName>
    <definedName name="PedFlowAlongPassenger">[1]Control!$D$47:$D$52</definedName>
    <definedName name="PedFlowXing">[1]Control!$D$35:$D$40</definedName>
    <definedName name="PedXingFac">[1]Control!$D$269:$D$279</definedName>
    <definedName name="PedXingFacQu">[1]Control!$D$280:$D$282</definedName>
    <definedName name="PShoulder">[1]Control!$D$195:$D$198</definedName>
    <definedName name="RightDistance">[1]Control!$D$151:$D$154</definedName>
    <definedName name="RightObject">[1]Control!$D$155:$D$171</definedName>
    <definedName name="RoadCon">[1]Control!$D$257:$D$259</definedName>
    <definedName name="Roads_that_car_read">[1]Control!$D$470:$D$471</definedName>
    <definedName name="Roadworks">[1]Control!$D$330:$D$332</definedName>
    <definedName name="School_sone_supervisor">[1]Control!$D$501:$D$503</definedName>
    <definedName name="School_zone_sign">[1]Control!$D$497:$D$500</definedName>
    <definedName name="Service_road">[1]Control!$D$315:$D$316</definedName>
    <definedName name="ShouldRumble">[1]Control!$D$193:$D$194</definedName>
    <definedName name="SideFriction">[1]Control!$D$298:$D$300</definedName>
    <definedName name="SidewalkLeft">[1]Control!$D$308:$D$314</definedName>
    <definedName name="SidewalkRight">[1]Control!$D$301:$D$307</definedName>
    <definedName name="sight_distance">[1]Control!$D$333:$D$334</definedName>
    <definedName name="Speed_managment">[1]Control!$D$296:$D$297</definedName>
    <definedName name="Speed85">[1]Control!$D$390:$D$429</definedName>
    <definedName name="SpeedLimit">[1]Control!$D$69:$D$89</definedName>
    <definedName name="SpeedMean">[1]Control!$D$430:$D$469</definedName>
    <definedName name="UShoulder">[1]Control!$D$199:$D$202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5" i="47" l="1" a="1"/>
  <c r="X5" i="47" s="1"/>
  <c r="Y5" i="47" a="1"/>
  <c r="Y5" i="47" s="1"/>
  <c r="Z5" i="47" a="1"/>
  <c r="Z5" i="47" s="1"/>
  <c r="AA5" i="47" a="1"/>
  <c r="AA5" i="47" s="1"/>
  <c r="AB5" i="47" a="1"/>
  <c r="AB5" i="47" s="1"/>
  <c r="AC5" i="47" a="1"/>
  <c r="AC5" i="47" s="1"/>
  <c r="AD5" i="47" a="1"/>
  <c r="AD5" i="47" s="1"/>
  <c r="AE5" i="47" a="1"/>
  <c r="AE5" i="47" s="1"/>
  <c r="AF5" i="47" a="1"/>
  <c r="AF5" i="47"/>
  <c r="AG5" i="47" a="1"/>
  <c r="AG5" i="47" s="1"/>
  <c r="AH5" i="47" a="1"/>
  <c r="AH5" i="47" s="1"/>
  <c r="AI5" i="47" a="1"/>
  <c r="AI5" i="47" s="1"/>
  <c r="AJ5" i="47" a="1"/>
  <c r="AJ5" i="47"/>
  <c r="AK5" i="47" a="1"/>
  <c r="AK5" i="47"/>
  <c r="AL5" i="47" a="1"/>
  <c r="AL5" i="47" s="1"/>
  <c r="AM5" i="47" a="1"/>
  <c r="AM5" i="47" s="1"/>
  <c r="AN5" i="47" a="1"/>
  <c r="AN5" i="47" s="1"/>
  <c r="AO5" i="47" a="1"/>
  <c r="AO5" i="47"/>
  <c r="AP5" i="47" a="1"/>
  <c r="AP5" i="47" s="1"/>
  <c r="AQ5" i="47" a="1"/>
  <c r="AQ5" i="47" s="1"/>
  <c r="AR5" i="47" a="1"/>
  <c r="AR5" i="47" s="1"/>
  <c r="AS5" i="47" a="1"/>
  <c r="AS5" i="47" s="1"/>
  <c r="AT5" i="47" a="1"/>
  <c r="AT5" i="47" s="1"/>
  <c r="AU5" i="47" a="1"/>
  <c r="AU5" i="47" s="1"/>
  <c r="AV5" i="47" a="1"/>
  <c r="AV5" i="47" s="1"/>
  <c r="AW5" i="47" a="1"/>
  <c r="AW5" i="47" s="1"/>
  <c r="AX5" i="47" a="1"/>
  <c r="AX5" i="47" s="1"/>
  <c r="AY5" i="47" a="1"/>
  <c r="AY5" i="47" s="1"/>
  <c r="AZ5" i="47" a="1"/>
  <c r="AZ5" i="47" s="1"/>
  <c r="BA5" i="47" a="1"/>
  <c r="BA5" i="47" s="1"/>
  <c r="BB5" i="47" a="1"/>
  <c r="BB5" i="47" s="1"/>
  <c r="BC5" i="47" a="1"/>
  <c r="BC5" i="47" s="1"/>
  <c r="BD5" i="47" a="1"/>
  <c r="BD5" i="47" s="1"/>
  <c r="BE5" i="47" a="1"/>
  <c r="BE5" i="47" s="1"/>
  <c r="BF5" i="47" a="1"/>
  <c r="BF5" i="47" s="1"/>
  <c r="BG5" i="47" a="1"/>
  <c r="BG5" i="47" s="1"/>
  <c r="BH5" i="47" a="1"/>
  <c r="BH5" i="47" s="1"/>
  <c r="BI5" i="47" a="1"/>
  <c r="BI5" i="47" s="1"/>
  <c r="BJ5" i="47" a="1"/>
  <c r="BJ5" i="47" s="1"/>
  <c r="BK5" i="47" a="1"/>
  <c r="BK5" i="47" s="1"/>
  <c r="BL5" i="47" a="1"/>
  <c r="BL5" i="47" s="1"/>
  <c r="BM5" i="47" a="1"/>
  <c r="BM5" i="47" s="1"/>
  <c r="BN5" i="47" a="1"/>
  <c r="BN5" i="47" s="1"/>
  <c r="BO5" i="47" a="1"/>
  <c r="BO5" i="47" s="1"/>
  <c r="BP5" i="47" a="1"/>
  <c r="BP5" i="47" s="1"/>
  <c r="BQ5" i="47" a="1"/>
  <c r="BQ5" i="47" s="1"/>
  <c r="BR5" i="47" a="1"/>
  <c r="BR5" i="47" s="1"/>
  <c r="BS5" i="47" a="1"/>
  <c r="BS5" i="47" s="1"/>
  <c r="BT5" i="47" a="1"/>
  <c r="BT5" i="47" s="1"/>
  <c r="BU5" i="47" a="1"/>
  <c r="BU5" i="47" s="1"/>
  <c r="BV5" i="47" a="1"/>
  <c r="BV5" i="47" s="1"/>
  <c r="BW5" i="47" a="1"/>
  <c r="BW5" i="47" s="1"/>
  <c r="BX5" i="47" a="1"/>
  <c r="BX5" i="47" s="1"/>
  <c r="BY5" i="47" a="1"/>
  <c r="BY5" i="47" s="1"/>
  <c r="BZ5" i="47" a="1"/>
  <c r="BZ5" i="47" s="1"/>
  <c r="CA5" i="47" a="1"/>
  <c r="CA5" i="47" s="1"/>
  <c r="CB5" i="47" a="1"/>
  <c r="CB5" i="47" s="1"/>
  <c r="CC5" i="47" a="1"/>
  <c r="CC5" i="47" s="1"/>
  <c r="CD5" i="47" a="1"/>
  <c r="CD5" i="47" s="1"/>
  <c r="CE5" i="47" a="1"/>
  <c r="CE5" i="47" s="1"/>
  <c r="CF5" i="47" a="1"/>
  <c r="CF5" i="47" s="1"/>
  <c r="CG5" i="47" a="1"/>
  <c r="CG5" i="47" s="1"/>
  <c r="CH5" i="47" a="1"/>
  <c r="CH5" i="47" s="1"/>
  <c r="CI5" i="47" a="1"/>
  <c r="CI5" i="47" s="1"/>
  <c r="CJ5" i="47" a="1"/>
  <c r="CJ5" i="47" s="1"/>
  <c r="CK5" i="47" a="1"/>
  <c r="CK5" i="47" s="1"/>
  <c r="CL5" i="47" a="1"/>
  <c r="CL5" i="47" s="1"/>
  <c r="CM5" i="47" a="1"/>
  <c r="CM5" i="47" s="1"/>
  <c r="CN5" i="47" a="1"/>
  <c r="CN5" i="47" s="1"/>
  <c r="CO5" i="47" a="1"/>
  <c r="CO5" i="47" s="1"/>
  <c r="CP5" i="47" a="1"/>
  <c r="CP5" i="47" s="1"/>
  <c r="CQ5" i="47" a="1"/>
  <c r="CQ5" i="47" s="1"/>
  <c r="CR5" i="47" a="1"/>
  <c r="CR5" i="47" s="1"/>
  <c r="CS5" i="47" a="1"/>
  <c r="CS5" i="47" s="1"/>
  <c r="CT5" i="47" a="1"/>
  <c r="CT5" i="47" s="1"/>
  <c r="CU5" i="47" a="1"/>
  <c r="CU5" i="47" s="1"/>
  <c r="CV5" i="47" a="1"/>
  <c r="CV5" i="47" s="1"/>
  <c r="CW5" i="47" a="1"/>
  <c r="CW5" i="47" s="1"/>
  <c r="CX5" i="47" a="1"/>
  <c r="CX5" i="47" s="1"/>
  <c r="CY5" i="47" a="1"/>
  <c r="CY5" i="47" s="1"/>
  <c r="CZ5" i="47" a="1"/>
  <c r="CZ5" i="47" s="1"/>
  <c r="DA5" i="47" a="1"/>
  <c r="DA5" i="47" s="1"/>
  <c r="DB5" i="47" a="1"/>
  <c r="DB5" i="47" s="1"/>
  <c r="DC5" i="47" a="1"/>
  <c r="DC5" i="47" s="1"/>
  <c r="DD5" i="47" a="1"/>
  <c r="DD5" i="47" s="1"/>
  <c r="DE5" i="47" a="1"/>
  <c r="DE5" i="47" s="1"/>
  <c r="DF5" i="47" a="1"/>
  <c r="DF5" i="47" s="1"/>
  <c r="DG5" i="47" a="1"/>
  <c r="DG5" i="47" s="1"/>
  <c r="DH5" i="47" a="1"/>
  <c r="DH5" i="47" s="1"/>
  <c r="DI5" i="47" a="1"/>
  <c r="DI5" i="47" s="1"/>
  <c r="DJ5" i="47" a="1"/>
  <c r="DJ5" i="47" s="1"/>
  <c r="DK5" i="47" a="1"/>
  <c r="DK5" i="47" s="1"/>
  <c r="DL5" i="47" a="1"/>
  <c r="DL5" i="47" s="1"/>
  <c r="DM5" i="47" a="1"/>
  <c r="DM5" i="47" s="1"/>
  <c r="DN5" i="47" a="1"/>
  <c r="DN5" i="47" s="1"/>
  <c r="DO5" i="47" a="1"/>
  <c r="DO5" i="47" s="1"/>
  <c r="DP5" i="47" a="1"/>
  <c r="DP5" i="47" s="1"/>
  <c r="DQ5" i="47" a="1"/>
  <c r="DQ5" i="47" s="1"/>
  <c r="DR5" i="47" a="1"/>
  <c r="DR5" i="47" s="1"/>
  <c r="DS5" i="47" a="1"/>
  <c r="DS5" i="47" s="1"/>
  <c r="DT5" i="47" a="1"/>
  <c r="DT5" i="47" s="1"/>
  <c r="DU5" i="47" a="1"/>
  <c r="DU5" i="47" s="1"/>
  <c r="DV5" i="47" a="1"/>
  <c r="DV5" i="47" s="1"/>
  <c r="DW5" i="47" a="1"/>
  <c r="DW5" i="47" s="1"/>
  <c r="DX5" i="47" a="1"/>
  <c r="DX5" i="47" s="1"/>
  <c r="V30" i="47"/>
  <c r="V31" i="47"/>
  <c r="V29" i="47"/>
  <c r="W30" i="47"/>
  <c r="W31" i="47"/>
  <c r="S30" i="47"/>
  <c r="S31" i="47"/>
  <c r="O2" i="14"/>
  <c r="EF61" i="47"/>
  <c r="EF62" i="47"/>
  <c r="EF63" i="47"/>
  <c r="EF3" i="47"/>
  <c r="EF4" i="47"/>
  <c r="EF5" i="47"/>
  <c r="EF6" i="47"/>
  <c r="EF7" i="47"/>
  <c r="EF8" i="47"/>
  <c r="EF9" i="47"/>
  <c r="EF10" i="47"/>
  <c r="EF11" i="47"/>
  <c r="EF12" i="47"/>
  <c r="EF13" i="47"/>
  <c r="EF14" i="47"/>
  <c r="EF15" i="47"/>
  <c r="EF16" i="47"/>
  <c r="EF17" i="47"/>
  <c r="EF18" i="47"/>
  <c r="EF19" i="47"/>
  <c r="EF20" i="47"/>
  <c r="EF21" i="47"/>
  <c r="EF22" i="47"/>
  <c r="EF23" i="47"/>
  <c r="EF24" i="47"/>
  <c r="EF25" i="47"/>
  <c r="EF26" i="47"/>
  <c r="EF27" i="47"/>
  <c r="EF28" i="47"/>
  <c r="EF29" i="47"/>
  <c r="EF32" i="47"/>
  <c r="EF33" i="47"/>
  <c r="EF34" i="47"/>
  <c r="EF35" i="47"/>
  <c r="EF36" i="47"/>
  <c r="EF37" i="47"/>
  <c r="EF38" i="47"/>
  <c r="EF39" i="47"/>
  <c r="EF40" i="47"/>
  <c r="EF41" i="47"/>
  <c r="EF42" i="47"/>
  <c r="EF43" i="47"/>
  <c r="EF44" i="47"/>
  <c r="EF45" i="47"/>
  <c r="EF46" i="47"/>
  <c r="EF47" i="47"/>
  <c r="EF48" i="47"/>
  <c r="EF49" i="47"/>
  <c r="EF50" i="47"/>
  <c r="EF51" i="47"/>
  <c r="EF52" i="47"/>
  <c r="EF53" i="47"/>
  <c r="EF54" i="47"/>
  <c r="EF55" i="47"/>
  <c r="EF56" i="47"/>
  <c r="EF57" i="47"/>
  <c r="EF58" i="47"/>
  <c r="EF59" i="47"/>
  <c r="EF60" i="47"/>
  <c r="EG60" i="47"/>
  <c r="EF2" i="47"/>
  <c r="K6" i="47"/>
  <c r="K4" i="47"/>
  <c r="P7" i="47" l="1"/>
  <c r="K3" i="47"/>
  <c r="P2" i="47"/>
  <c r="K9" i="47"/>
  <c r="K8" i="47"/>
  <c r="K5" i="47"/>
  <c r="N58" i="14" l="1"/>
  <c r="CY7" i="47" l="1"/>
  <c r="BG7" i="47"/>
  <c r="AU7" i="47"/>
  <c r="AT7" i="47"/>
  <c r="AS7" i="47"/>
  <c r="AL7" i="47"/>
  <c r="AJ7" i="47"/>
  <c r="AI7" i="47"/>
  <c r="AE7" i="47"/>
  <c r="AD7" i="47"/>
  <c r="AC7" i="47"/>
  <c r="AB7" i="47"/>
  <c r="DP7" i="47"/>
  <c r="DO7" i="47"/>
  <c r="DN7" i="47"/>
  <c r="DM7" i="47"/>
  <c r="DF180" i="14" l="1"/>
  <c r="DF181" i="14"/>
  <c r="DF182" i="14"/>
  <c r="DF183" i="14"/>
  <c r="DF184" i="14"/>
  <c r="DF185" i="14"/>
  <c r="DF186" i="14"/>
  <c r="DF187" i="14"/>
  <c r="DF188" i="14"/>
  <c r="DF189" i="14"/>
  <c r="DF190" i="14"/>
  <c r="DF191" i="14"/>
  <c r="DF192" i="14"/>
  <c r="DF193" i="14"/>
  <c r="DF194" i="14"/>
  <c r="DF195" i="14"/>
  <c r="DF196" i="14"/>
  <c r="DF197" i="14"/>
  <c r="DF198" i="14"/>
  <c r="DF199" i="14"/>
  <c r="DF200" i="14"/>
  <c r="DF201" i="14"/>
  <c r="DF202" i="14"/>
  <c r="DF203" i="14"/>
  <c r="DF204" i="14"/>
  <c r="DF205" i="14"/>
  <c r="DF206" i="14"/>
  <c r="DF207" i="14"/>
  <c r="DF208" i="14"/>
  <c r="DF209" i="14"/>
  <c r="DF210" i="14"/>
  <c r="DF211" i="14"/>
  <c r="DF212" i="14"/>
  <c r="DF213" i="14"/>
  <c r="DF214" i="14"/>
  <c r="DF215" i="14"/>
  <c r="DF216" i="14"/>
  <c r="DF217" i="14"/>
  <c r="DF218" i="14"/>
  <c r="DF219" i="14"/>
  <c r="DF220" i="14"/>
  <c r="DF221" i="14"/>
  <c r="DF222" i="14"/>
  <c r="DF223" i="14"/>
  <c r="DF224" i="14"/>
  <c r="DF225" i="14"/>
  <c r="DF226" i="14"/>
  <c r="DF227" i="14"/>
  <c r="DF228" i="14"/>
  <c r="DF229" i="14"/>
  <c r="DF230" i="14"/>
  <c r="DF231" i="14"/>
  <c r="DF232" i="14"/>
  <c r="DF233" i="14"/>
  <c r="DF234" i="14"/>
  <c r="DF235" i="14"/>
  <c r="DF236" i="14"/>
  <c r="DF237" i="14"/>
  <c r="DF238" i="14"/>
  <c r="DF239" i="14"/>
  <c r="DF92" i="14"/>
  <c r="DF93" i="14"/>
  <c r="DF94" i="14"/>
  <c r="DF95" i="14"/>
  <c r="DF96" i="14"/>
  <c r="DF97" i="14"/>
  <c r="DF98" i="14"/>
  <c r="DF99" i="14"/>
  <c r="DF100" i="14"/>
  <c r="DF101" i="14"/>
  <c r="DF102" i="14"/>
  <c r="DF103" i="14"/>
  <c r="DF104" i="14"/>
  <c r="DF105" i="14"/>
  <c r="DF106" i="14"/>
  <c r="DF107" i="14"/>
  <c r="DF108" i="14"/>
  <c r="DF109" i="14"/>
  <c r="DF110" i="14"/>
  <c r="DF111" i="14"/>
  <c r="DF112" i="14"/>
  <c r="DF113" i="14"/>
  <c r="DF114" i="14"/>
  <c r="DF115" i="14"/>
  <c r="DF116" i="14"/>
  <c r="DF117" i="14"/>
  <c r="DF118" i="14"/>
  <c r="DF119" i="14"/>
  <c r="DF120" i="14"/>
  <c r="DF121" i="14"/>
  <c r="DF122" i="14"/>
  <c r="DF123" i="14"/>
  <c r="DF124" i="14"/>
  <c r="DF125" i="14"/>
  <c r="DF126" i="14"/>
  <c r="DF127" i="14"/>
  <c r="DF128" i="14"/>
  <c r="DF129" i="14"/>
  <c r="DF130" i="14"/>
  <c r="DF131" i="14"/>
  <c r="DF132" i="14"/>
  <c r="DF133" i="14"/>
  <c r="DF134" i="14"/>
  <c r="DF135" i="14"/>
  <c r="DF136" i="14"/>
  <c r="DF137" i="14"/>
  <c r="DF138" i="14"/>
  <c r="DF139" i="14"/>
  <c r="DF140" i="14"/>
  <c r="DF141" i="14"/>
  <c r="DF142" i="14"/>
  <c r="DF143" i="14"/>
  <c r="DF144" i="14"/>
  <c r="DF145" i="14"/>
  <c r="DF146" i="14"/>
  <c r="DF147" i="14"/>
  <c r="DF148" i="14"/>
  <c r="DF149" i="14"/>
  <c r="DF150" i="14"/>
  <c r="DF151" i="14"/>
  <c r="DF152" i="14"/>
  <c r="DF153" i="14"/>
  <c r="DF154" i="14"/>
  <c r="DF155" i="14"/>
  <c r="DF156" i="14"/>
  <c r="DF157" i="14"/>
  <c r="DF158" i="14"/>
  <c r="DF159" i="14"/>
  <c r="DF160" i="14"/>
  <c r="DF161" i="14"/>
  <c r="DF162" i="14"/>
  <c r="DF163" i="14"/>
  <c r="DF164" i="14"/>
  <c r="DF165" i="14"/>
  <c r="DF166" i="14"/>
  <c r="DF167" i="14"/>
  <c r="DF168" i="14"/>
  <c r="DF169" i="14"/>
  <c r="DF170" i="14"/>
  <c r="DF171" i="14"/>
  <c r="DF172" i="14"/>
  <c r="DF173" i="14"/>
  <c r="DF174" i="14"/>
  <c r="DF175" i="14"/>
  <c r="DF176" i="14"/>
  <c r="DF177" i="14"/>
  <c r="DF178" i="14"/>
  <c r="DF179" i="14"/>
  <c r="DF91" i="14"/>
  <c r="H107" i="14" l="1"/>
  <c r="H106" i="14"/>
  <c r="L58" i="14"/>
  <c r="M58" i="14" s="1"/>
  <c r="DE91" i="14"/>
  <c r="DE92" i="14"/>
  <c r="DE93" i="14"/>
  <c r="DE94" i="14"/>
  <c r="DG94" i="14" s="1"/>
  <c r="DE95" i="14"/>
  <c r="DE96" i="14"/>
  <c r="DE97" i="14"/>
  <c r="DE98" i="14"/>
  <c r="DE99" i="14"/>
  <c r="DG99" i="14" s="1"/>
  <c r="DE100" i="14"/>
  <c r="DE101" i="14"/>
  <c r="DE102" i="14"/>
  <c r="DE103" i="14"/>
  <c r="DE104" i="14"/>
  <c r="DG104" i="14" s="1"/>
  <c r="DE105" i="14"/>
  <c r="DE106" i="14"/>
  <c r="DE107" i="14"/>
  <c r="DE108" i="14"/>
  <c r="DE109" i="14"/>
  <c r="DG109" i="14" s="1"/>
  <c r="DE110" i="14"/>
  <c r="DE111" i="14"/>
  <c r="DE112" i="14"/>
  <c r="DE113" i="14"/>
  <c r="DE114" i="14"/>
  <c r="DG114" i="14" s="1"/>
  <c r="DE115" i="14"/>
  <c r="DE116" i="14"/>
  <c r="DE117" i="14"/>
  <c r="DE118" i="14"/>
  <c r="DE119" i="14"/>
  <c r="DG119" i="14" s="1"/>
  <c r="DE120" i="14"/>
  <c r="DE121" i="14"/>
  <c r="DE122" i="14"/>
  <c r="DE123" i="14"/>
  <c r="DE124" i="14"/>
  <c r="DG124" i="14" s="1"/>
  <c r="DE125" i="14"/>
  <c r="DE126" i="14"/>
  <c r="DE127" i="14"/>
  <c r="DE128" i="14"/>
  <c r="DE129" i="14"/>
  <c r="DG129" i="14" s="1"/>
  <c r="DE130" i="14"/>
  <c r="DE131" i="14"/>
  <c r="DE132" i="14"/>
  <c r="DE133" i="14"/>
  <c r="DE134" i="14"/>
  <c r="DG134" i="14" s="1"/>
  <c r="DE135" i="14"/>
  <c r="DE136" i="14"/>
  <c r="DE137" i="14"/>
  <c r="DE138" i="14"/>
  <c r="DE139" i="14"/>
  <c r="DG139" i="14" s="1"/>
  <c r="DE140" i="14"/>
  <c r="DE141" i="14"/>
  <c r="DE142" i="14"/>
  <c r="DE143" i="14"/>
  <c r="DE144" i="14"/>
  <c r="DG144" i="14" s="1"/>
  <c r="DE145" i="14"/>
  <c r="DE146" i="14"/>
  <c r="DE147" i="14"/>
  <c r="DE148" i="14"/>
  <c r="DE149" i="14"/>
  <c r="DG149" i="14" s="1"/>
  <c r="DE150" i="14"/>
  <c r="DE151" i="14"/>
  <c r="DE152" i="14"/>
  <c r="DE153" i="14"/>
  <c r="DE154" i="14"/>
  <c r="DG154" i="14" s="1"/>
  <c r="DE155" i="14"/>
  <c r="DE156" i="14"/>
  <c r="DE157" i="14"/>
  <c r="DE158" i="14"/>
  <c r="DE159" i="14"/>
  <c r="DG159" i="14" s="1"/>
  <c r="DE160" i="14"/>
  <c r="DE161" i="14"/>
  <c r="DE162" i="14"/>
  <c r="DE163" i="14"/>
  <c r="DE164" i="14"/>
  <c r="DG164" i="14" s="1"/>
  <c r="DE165" i="14"/>
  <c r="DE166" i="14"/>
  <c r="DE167" i="14"/>
  <c r="DE168" i="14"/>
  <c r="DE169" i="14"/>
  <c r="DG169" i="14" s="1"/>
  <c r="DE170" i="14"/>
  <c r="DE171" i="14"/>
  <c r="DE172" i="14"/>
  <c r="DE173" i="14"/>
  <c r="DE174" i="14"/>
  <c r="DG174" i="14" s="1"/>
  <c r="DE175" i="14"/>
  <c r="DE176" i="14"/>
  <c r="DE177" i="14"/>
  <c r="DE178" i="14"/>
  <c r="DE179" i="14"/>
  <c r="DG179" i="14" s="1"/>
  <c r="DE180" i="14"/>
  <c r="DE181" i="14"/>
  <c r="DE182" i="14"/>
  <c r="DE183" i="14"/>
  <c r="DE184" i="14"/>
  <c r="DG184" i="14" s="1"/>
  <c r="DE185" i="14"/>
  <c r="DE186" i="14"/>
  <c r="DE187" i="14"/>
  <c r="DE188" i="14"/>
  <c r="DE189" i="14"/>
  <c r="DG189" i="14" s="1"/>
  <c r="DE190" i="14"/>
  <c r="DE191" i="14"/>
  <c r="DE192" i="14"/>
  <c r="DE193" i="14"/>
  <c r="DE194" i="14"/>
  <c r="DG194" i="14" s="1"/>
  <c r="DE195" i="14"/>
  <c r="DE196" i="14"/>
  <c r="DE197" i="14"/>
  <c r="DE198" i="14"/>
  <c r="DE199" i="14"/>
  <c r="DG199" i="14" s="1"/>
  <c r="DE200" i="14"/>
  <c r="DE201" i="14"/>
  <c r="DE202" i="14"/>
  <c r="DE203" i="14"/>
  <c r="DE204" i="14"/>
  <c r="DG204" i="14" s="1"/>
  <c r="DE205" i="14"/>
  <c r="DE206" i="14"/>
  <c r="DE207" i="14"/>
  <c r="DE208" i="14"/>
  <c r="DE209" i="14"/>
  <c r="DG209" i="14" s="1"/>
  <c r="DE210" i="14"/>
  <c r="DE211" i="14"/>
  <c r="DE212" i="14"/>
  <c r="DE213" i="14"/>
  <c r="DE214" i="14"/>
  <c r="DG214" i="14" s="1"/>
  <c r="DE215" i="14"/>
  <c r="DE216" i="14"/>
  <c r="DE217" i="14"/>
  <c r="DE218" i="14"/>
  <c r="DE219" i="14"/>
  <c r="DG219" i="14" s="1"/>
  <c r="DE220" i="14"/>
  <c r="DE221" i="14"/>
  <c r="DE222" i="14"/>
  <c r="DE223" i="14"/>
  <c r="DE224" i="14"/>
  <c r="DG224" i="14" s="1"/>
  <c r="DE225" i="14"/>
  <c r="DE226" i="14"/>
  <c r="DE227" i="14"/>
  <c r="DE228" i="14"/>
  <c r="DE229" i="14"/>
  <c r="DG229" i="14" s="1"/>
  <c r="DE230" i="14"/>
  <c r="DE231" i="14"/>
  <c r="DE232" i="14"/>
  <c r="DE233" i="14"/>
  <c r="DE234" i="14"/>
  <c r="DE235" i="14"/>
  <c r="DE236" i="14"/>
  <c r="DE237" i="14"/>
  <c r="DE238" i="14"/>
  <c r="DE239" i="14"/>
  <c r="I107" i="11"/>
  <c r="I106" i="11"/>
  <c r="D243" i="50" l="1"/>
  <c r="D242" i="50"/>
  <c r="D241" i="50"/>
  <c r="D240" i="50"/>
  <c r="D239" i="50"/>
  <c r="D238" i="50"/>
  <c r="D237" i="50"/>
  <c r="D236" i="50"/>
  <c r="D235" i="50"/>
  <c r="D234" i="50"/>
  <c r="D233" i="50"/>
  <c r="D232" i="50"/>
  <c r="D231" i="50"/>
  <c r="D230" i="50"/>
  <c r="D229" i="50"/>
  <c r="D228" i="50"/>
  <c r="D227" i="50"/>
  <c r="D226" i="50"/>
  <c r="D225" i="50"/>
  <c r="D224" i="50"/>
  <c r="D223" i="50"/>
  <c r="D222" i="50"/>
  <c r="D221" i="50"/>
  <c r="D220" i="50"/>
  <c r="D219" i="50"/>
  <c r="D218" i="50"/>
  <c r="D217" i="50"/>
  <c r="D216" i="50"/>
  <c r="D215" i="50"/>
  <c r="D214" i="50"/>
  <c r="D213" i="50"/>
  <c r="D212" i="50"/>
  <c r="D211" i="50"/>
  <c r="D210" i="50"/>
  <c r="D209" i="50"/>
  <c r="D208" i="50"/>
  <c r="D207" i="50"/>
  <c r="D206" i="50"/>
  <c r="D205" i="50"/>
  <c r="D204" i="50"/>
  <c r="D203" i="50"/>
  <c r="D202" i="50"/>
  <c r="D201" i="50"/>
  <c r="D200" i="50"/>
  <c r="D199" i="50"/>
  <c r="D198" i="50"/>
  <c r="D197" i="50"/>
  <c r="D196" i="50"/>
  <c r="D195" i="50"/>
  <c r="D194" i="50"/>
  <c r="D193" i="50"/>
  <c r="D192" i="50"/>
  <c r="D191" i="50"/>
  <c r="D190" i="50"/>
  <c r="D189" i="50"/>
  <c r="D188" i="50"/>
  <c r="D187" i="50"/>
  <c r="D186" i="50"/>
  <c r="D185" i="50"/>
  <c r="D184" i="50"/>
  <c r="D183" i="50"/>
  <c r="D182" i="50"/>
  <c r="D181" i="50"/>
  <c r="D180" i="50"/>
  <c r="D179" i="50"/>
  <c r="D178" i="50"/>
  <c r="D177" i="50"/>
  <c r="D176" i="50"/>
  <c r="D175" i="50"/>
  <c r="D174" i="50"/>
  <c r="D173" i="50"/>
  <c r="D172" i="50"/>
  <c r="D171" i="50"/>
  <c r="D170" i="50"/>
  <c r="D169" i="50"/>
  <c r="D168" i="50"/>
  <c r="D167" i="50"/>
  <c r="D166" i="50"/>
  <c r="D165" i="50"/>
  <c r="D164" i="50"/>
  <c r="D163" i="50"/>
  <c r="D162" i="50"/>
  <c r="D161" i="50"/>
  <c r="D160" i="50"/>
  <c r="D159" i="50"/>
  <c r="D158" i="50"/>
  <c r="D157" i="50"/>
  <c r="D156" i="50"/>
  <c r="D155" i="50"/>
  <c r="D154" i="50"/>
  <c r="D153" i="50"/>
  <c r="D152" i="50"/>
  <c r="D151" i="50"/>
  <c r="D150" i="50"/>
  <c r="D149" i="50"/>
  <c r="D148" i="50"/>
  <c r="D147" i="50"/>
  <c r="D146" i="50"/>
  <c r="D145" i="50"/>
  <c r="D144" i="50"/>
  <c r="D143" i="50"/>
  <c r="D142" i="50"/>
  <c r="D141" i="50"/>
  <c r="D140" i="50"/>
  <c r="D139" i="50"/>
  <c r="D138" i="50"/>
  <c r="D137" i="50"/>
  <c r="D136" i="50"/>
  <c r="D135" i="50"/>
  <c r="D134" i="50"/>
  <c r="D133" i="50"/>
  <c r="D132" i="50"/>
  <c r="D131" i="50"/>
  <c r="D130" i="50"/>
  <c r="D129" i="50"/>
  <c r="D128" i="50"/>
  <c r="D127" i="50"/>
  <c r="D126" i="50"/>
  <c r="D125" i="50"/>
  <c r="D124" i="50"/>
  <c r="D123" i="50"/>
  <c r="D122" i="50"/>
  <c r="D121" i="50"/>
  <c r="D120" i="50"/>
  <c r="D119" i="50"/>
  <c r="D118" i="50"/>
  <c r="D117" i="50"/>
  <c r="D116" i="50"/>
  <c r="D115" i="50"/>
  <c r="D114" i="50"/>
  <c r="D113" i="50"/>
  <c r="D112" i="50"/>
  <c r="D111" i="50"/>
  <c r="D110" i="50"/>
  <c r="D109" i="50"/>
  <c r="D108" i="50"/>
  <c r="D107" i="50"/>
  <c r="D106" i="50"/>
  <c r="D105" i="50"/>
  <c r="D104" i="50"/>
  <c r="D103" i="50"/>
  <c r="D102" i="50"/>
  <c r="D101" i="50"/>
  <c r="D100" i="50"/>
  <c r="D99" i="50"/>
  <c r="D98" i="50"/>
  <c r="D97" i="50"/>
  <c r="D96" i="50"/>
  <c r="D95" i="50"/>
  <c r="D94" i="50"/>
  <c r="D93" i="50"/>
  <c r="D92" i="50"/>
  <c r="D91" i="50"/>
  <c r="D90" i="50"/>
  <c r="D89" i="50"/>
  <c r="D88" i="50"/>
  <c r="D87" i="50"/>
  <c r="D86" i="50"/>
  <c r="D85" i="50"/>
  <c r="D84" i="50"/>
  <c r="D83" i="50"/>
  <c r="D82" i="50"/>
  <c r="D81" i="50"/>
  <c r="D80" i="50"/>
  <c r="D79" i="50"/>
  <c r="D78" i="50"/>
  <c r="D77" i="50"/>
  <c r="D76" i="50"/>
  <c r="D75" i="50"/>
  <c r="D74" i="50"/>
  <c r="D73" i="50"/>
  <c r="D72" i="50"/>
  <c r="D71" i="50"/>
  <c r="D70" i="50"/>
  <c r="D69" i="50"/>
  <c r="D68" i="50"/>
  <c r="D67" i="50"/>
  <c r="D66" i="50"/>
  <c r="D65" i="50"/>
  <c r="D64" i="50"/>
  <c r="D63" i="50"/>
  <c r="D62" i="50"/>
  <c r="D61" i="50"/>
  <c r="D60" i="50"/>
  <c r="D59" i="50"/>
  <c r="D58" i="50"/>
  <c r="D57" i="50"/>
  <c r="D56" i="50"/>
  <c r="D55" i="50"/>
  <c r="D54" i="50"/>
  <c r="D53" i="50"/>
  <c r="D52" i="50"/>
  <c r="D51" i="50"/>
  <c r="D50" i="50"/>
  <c r="D49" i="50"/>
  <c r="D48" i="50"/>
  <c r="D47" i="50"/>
  <c r="D46" i="50"/>
  <c r="D45" i="50"/>
  <c r="D44" i="50"/>
  <c r="D43" i="50"/>
  <c r="D42" i="50"/>
  <c r="D41" i="50"/>
  <c r="D40" i="50"/>
  <c r="D39" i="50"/>
  <c r="D38" i="50"/>
  <c r="D37" i="50"/>
  <c r="D36" i="50"/>
  <c r="D35" i="50"/>
  <c r="D34" i="50"/>
  <c r="D33" i="50"/>
  <c r="D32" i="50"/>
  <c r="D31" i="50"/>
  <c r="D30" i="50"/>
  <c r="D29" i="50"/>
  <c r="D28" i="50"/>
  <c r="D27" i="50"/>
  <c r="D26" i="50"/>
  <c r="D25" i="50"/>
  <c r="D24" i="50"/>
  <c r="D23" i="50"/>
  <c r="D22" i="50"/>
  <c r="D21" i="50"/>
  <c r="D20" i="50"/>
  <c r="D19" i="50"/>
  <c r="D18" i="50"/>
  <c r="D17" i="50"/>
  <c r="D16" i="50"/>
  <c r="D15" i="50"/>
  <c r="D14" i="50"/>
  <c r="D13" i="50"/>
  <c r="D12" i="50"/>
  <c r="D11" i="50"/>
  <c r="D10" i="50"/>
  <c r="D9" i="50"/>
  <c r="D8" i="50"/>
  <c r="D7" i="50"/>
  <c r="D6" i="50"/>
  <c r="D5" i="50"/>
  <c r="D4" i="50"/>
  <c r="I43" i="11"/>
  <c r="O58" i="14" l="1"/>
  <c r="EG59" i="47" s="1"/>
  <c r="AG8" i="47"/>
  <c r="AG7" i="47"/>
  <c r="AF7" i="47"/>
  <c r="BF8" i="47"/>
  <c r="BE8" i="47"/>
  <c r="BF7" i="47"/>
  <c r="BE7" i="47"/>
  <c r="DE86" i="14" l="1"/>
  <c r="BD4" i="28"/>
  <c r="V120" i="47"/>
  <c r="W120" i="47" s="1"/>
  <c r="V119" i="47"/>
  <c r="W119" i="47" s="1"/>
  <c r="DX8" i="47"/>
  <c r="DW8" i="47"/>
  <c r="DV8" i="47"/>
  <c r="DU8" i="47"/>
  <c r="DT8" i="47"/>
  <c r="DS8" i="47"/>
  <c r="DX7" i="47"/>
  <c r="DW7" i="47"/>
  <c r="DV7" i="47"/>
  <c r="DU7" i="47"/>
  <c r="DT7" i="47"/>
  <c r="DS7" i="47"/>
  <c r="DL7" i="47"/>
  <c r="DK7" i="47"/>
  <c r="DJ7" i="47"/>
  <c r="DG8" i="47"/>
  <c r="DF8" i="47"/>
  <c r="DE8" i="47"/>
  <c r="DD8" i="47"/>
  <c r="DG7" i="47"/>
  <c r="DF7" i="47"/>
  <c r="DE7" i="47"/>
  <c r="DD7" i="47"/>
  <c r="CX8" i="47"/>
  <c r="CW8" i="47"/>
  <c r="CV8" i="47"/>
  <c r="CU8" i="47"/>
  <c r="CX7" i="47"/>
  <c r="CW7" i="47"/>
  <c r="CV7" i="47"/>
  <c r="CU7" i="47"/>
  <c r="CT7" i="47"/>
  <c r="CR8" i="47"/>
  <c r="CQ8" i="47"/>
  <c r="CP8" i="47"/>
  <c r="CR7" i="47"/>
  <c r="CQ7" i="47"/>
  <c r="CP7" i="47"/>
  <c r="CN8" i="47"/>
  <c r="CM8" i="47"/>
  <c r="CL8" i="47"/>
  <c r="CN7" i="47"/>
  <c r="CM7" i="47"/>
  <c r="CL7" i="47"/>
  <c r="CJ8" i="47"/>
  <c r="CI8" i="47"/>
  <c r="CH8" i="47"/>
  <c r="CG8" i="47"/>
  <c r="CF8" i="47"/>
  <c r="CE8" i="47"/>
  <c r="CJ7" i="47"/>
  <c r="CI7" i="47"/>
  <c r="CH7" i="47"/>
  <c r="CG7" i="47"/>
  <c r="CF7" i="47"/>
  <c r="CE7" i="47"/>
  <c r="CB8" i="47"/>
  <c r="CA8" i="47"/>
  <c r="BZ8" i="47"/>
  <c r="BY8" i="47"/>
  <c r="BX8" i="47"/>
  <c r="CB7" i="47"/>
  <c r="CA7" i="47"/>
  <c r="BZ7" i="47"/>
  <c r="BY7" i="47"/>
  <c r="BX7" i="47"/>
  <c r="BV8" i="47"/>
  <c r="BV7" i="47"/>
  <c r="BU8" i="47"/>
  <c r="BU7" i="47"/>
  <c r="BS8" i="47"/>
  <c r="BR8" i="47"/>
  <c r="BS7" i="47"/>
  <c r="BR7" i="47"/>
  <c r="BO8" i="47"/>
  <c r="BN8" i="47"/>
  <c r="BO7" i="47"/>
  <c r="BN7" i="47"/>
  <c r="BM8" i="47"/>
  <c r="BL8" i="47"/>
  <c r="BK8" i="47"/>
  <c r="BJ8" i="47"/>
  <c r="BI8" i="47"/>
  <c r="BM7" i="47"/>
  <c r="BL7" i="47"/>
  <c r="BK7" i="47"/>
  <c r="BJ7" i="47"/>
  <c r="BI7" i="47"/>
  <c r="BD7" i="47"/>
  <c r="BA7" i="47"/>
  <c r="BC7" i="47"/>
  <c r="BH7" i="47"/>
  <c r="BP7" i="47"/>
  <c r="BQ7" i="47"/>
  <c r="BT7" i="47"/>
  <c r="BW7" i="47"/>
  <c r="CC7" i="47"/>
  <c r="CD7" i="47"/>
  <c r="CK7" i="47"/>
  <c r="CO7" i="47"/>
  <c r="CZ7" i="47"/>
  <c r="DC7" i="47"/>
  <c r="DH7" i="47"/>
  <c r="DI7" i="47"/>
  <c r="DR7" i="47"/>
  <c r="X7" i="47"/>
  <c r="Y7" i="47"/>
  <c r="Z7" i="47"/>
  <c r="AA7" i="47"/>
  <c r="AH7" i="47"/>
  <c r="AK7" i="47"/>
  <c r="AO7" i="47"/>
  <c r="AP7" i="47"/>
  <c r="AQ7" i="47"/>
  <c r="AR7" i="47"/>
  <c r="AV7" i="47"/>
  <c r="AW7" i="47"/>
  <c r="AX7" i="47"/>
  <c r="AY7" i="47"/>
  <c r="BA8" i="47"/>
  <c r="AY8" i="47"/>
  <c r="AX8" i="47"/>
  <c r="AW8" i="47"/>
  <c r="AO8" i="47"/>
  <c r="AV8" i="47"/>
  <c r="BC8" i="47"/>
  <c r="BH8" i="47"/>
  <c r="BP8" i="47"/>
  <c r="BQ8" i="47"/>
  <c r="BT8" i="47"/>
  <c r="BW8" i="47"/>
  <c r="CC8" i="47"/>
  <c r="CD8" i="47"/>
  <c r="CK8" i="47"/>
  <c r="CO8" i="47"/>
  <c r="CS8" i="47"/>
  <c r="CZ8" i="47"/>
  <c r="DC8" i="47"/>
  <c r="DH8" i="47"/>
  <c r="DR8" i="47"/>
  <c r="S116" i="47" l="1"/>
  <c r="S117" i="47" s="1"/>
  <c r="S118" i="47" s="1"/>
  <c r="S113" i="47"/>
  <c r="S111" i="47"/>
  <c r="S110" i="47" s="1"/>
  <c r="S109" i="47" s="1"/>
  <c r="S107" i="47"/>
  <c r="S105" i="47"/>
  <c r="S103" i="47"/>
  <c r="S101" i="47"/>
  <c r="S98" i="47"/>
  <c r="S99" i="47" s="1"/>
  <c r="S96" i="47"/>
  <c r="S94" i="47"/>
  <c r="S92" i="47"/>
  <c r="S90" i="47"/>
  <c r="S88" i="47"/>
  <c r="S86" i="47"/>
  <c r="S84" i="47"/>
  <c r="S82" i="47"/>
  <c r="S80" i="47"/>
  <c r="S78" i="47"/>
  <c r="S76" i="47"/>
  <c r="S74" i="47"/>
  <c r="S72" i="47"/>
  <c r="S70" i="47"/>
  <c r="S68" i="47"/>
  <c r="S66" i="47"/>
  <c r="S64" i="47"/>
  <c r="S62" i="47"/>
  <c r="S60" i="47"/>
  <c r="S58" i="47"/>
  <c r="S56" i="47"/>
  <c r="S54" i="47"/>
  <c r="S52" i="47"/>
  <c r="S49" i="47"/>
  <c r="S50" i="47" s="1"/>
  <c r="S47" i="47"/>
  <c r="S45" i="47"/>
  <c r="S43" i="47"/>
  <c r="S41" i="47"/>
  <c r="S39" i="47"/>
  <c r="S37" i="47"/>
  <c r="S35" i="47"/>
  <c r="S33" i="47"/>
  <c r="S27" i="47"/>
  <c r="S23" i="47"/>
  <c r="S24" i="47" s="1"/>
  <c r="S25" i="47" s="1"/>
  <c r="S28" i="47" l="1"/>
  <c r="S29" i="47" s="1"/>
  <c r="K2" i="47"/>
  <c r="F29" i="47"/>
  <c r="F25" i="47"/>
  <c r="F24" i="47"/>
  <c r="F23" i="47"/>
  <c r="F22" i="47"/>
  <c r="F21" i="47"/>
  <c r="F20" i="47"/>
  <c r="F19" i="47"/>
  <c r="F17" i="47"/>
  <c r="F16" i="47"/>
  <c r="F15" i="47"/>
  <c r="F14" i="47"/>
  <c r="F13" i="47"/>
  <c r="F12" i="47"/>
  <c r="F11" i="47"/>
  <c r="F10" i="47"/>
  <c r="F9" i="47"/>
  <c r="F8" i="47"/>
  <c r="F7" i="47"/>
  <c r="F3" i="47"/>
  <c r="F2" i="47"/>
  <c r="L6" i="14" l="1"/>
  <c r="M6" i="14" s="1"/>
  <c r="M9" i="14"/>
  <c r="L15" i="14"/>
  <c r="L11" i="14"/>
  <c r="M11" i="14" s="1"/>
  <c r="L12" i="14"/>
  <c r="M12" i="14" s="1"/>
  <c r="L13" i="14"/>
  <c r="M13" i="14" s="1"/>
  <c r="L10" i="14"/>
  <c r="M10" i="14" s="1"/>
  <c r="G46" i="43"/>
  <c r="G45" i="43"/>
  <c r="G44" i="43"/>
  <c r="G43" i="43"/>
  <c r="DU78" i="28"/>
  <c r="BY2" i="28" s="1"/>
  <c r="DU77" i="28"/>
  <c r="BX2" i="28" s="1"/>
  <c r="DU76" i="28"/>
  <c r="BW2" i="28" s="1"/>
  <c r="DU75" i="28"/>
  <c r="BV2" i="28" s="1"/>
  <c r="BP2" i="28"/>
  <c r="BN2" i="28"/>
  <c r="BL2" i="28"/>
  <c r="BJ2" i="28"/>
  <c r="BH2" i="28"/>
  <c r="DU58" i="28"/>
  <c r="DU57" i="28"/>
  <c r="DU56" i="28"/>
  <c r="DU55" i="28"/>
  <c r="DU54" i="28"/>
  <c r="DU53" i="28"/>
  <c r="DU52" i="28"/>
  <c r="DU51" i="28"/>
  <c r="DU50" i="28"/>
  <c r="DU49" i="28"/>
  <c r="DU48" i="28"/>
  <c r="DU47" i="28"/>
  <c r="DU46" i="28"/>
  <c r="DU26" i="28"/>
  <c r="DU25" i="28"/>
  <c r="DU24" i="28"/>
  <c r="DU23" i="28"/>
  <c r="DU22" i="28"/>
  <c r="DU21" i="28"/>
  <c r="DU20" i="28"/>
  <c r="DU19" i="28"/>
  <c r="DU18" i="28"/>
  <c r="DU17" i="28"/>
  <c r="DU16" i="28"/>
  <c r="DU15" i="28"/>
  <c r="DU14" i="28"/>
  <c r="DU13" i="28"/>
  <c r="DU12" i="28"/>
  <c r="DU11" i="28"/>
  <c r="DU10" i="28"/>
  <c r="DU9" i="28"/>
  <c r="DU8" i="28"/>
  <c r="DU7" i="28"/>
  <c r="DU6" i="28"/>
  <c r="DU45" i="28"/>
  <c r="DU44" i="28"/>
  <c r="DU43" i="28"/>
  <c r="DU42" i="28"/>
  <c r="DU41" i="28"/>
  <c r="DU40" i="28"/>
  <c r="DU39" i="28"/>
  <c r="DU38" i="28"/>
  <c r="DU37" i="28"/>
  <c r="DU36" i="28"/>
  <c r="DU35" i="28"/>
  <c r="DU34" i="28"/>
  <c r="DU33" i="28"/>
  <c r="DU32" i="28"/>
  <c r="DU31" i="28"/>
  <c r="DU30" i="28"/>
  <c r="DU29" i="28"/>
  <c r="DU28" i="28"/>
  <c r="DU27" i="28"/>
  <c r="DU5" i="28"/>
  <c r="DU4" i="28"/>
  <c r="DU3" i="28"/>
  <c r="DU59" i="28"/>
  <c r="DK8" i="14" l="1"/>
  <c r="DK9" i="14" s="1"/>
  <c r="DK10" i="14" s="1"/>
  <c r="DK11" i="14" s="1"/>
  <c r="DK12" i="14" s="1"/>
  <c r="DK13" i="14" s="1"/>
  <c r="DK14" i="14" s="1"/>
  <c r="DK15" i="14" s="1"/>
  <c r="DK16" i="14" s="1"/>
  <c r="DK17" i="14" s="1"/>
  <c r="DK18" i="14" s="1"/>
  <c r="DK19" i="14" s="1"/>
  <c r="N24" i="14"/>
  <c r="H40" i="14"/>
  <c r="H39" i="14"/>
  <c r="L24" i="14"/>
  <c r="I40" i="11"/>
  <c r="I39" i="11"/>
  <c r="L54" i="14"/>
  <c r="L56" i="14"/>
  <c r="M24" i="14" l="1"/>
  <c r="N23" i="14"/>
  <c r="L17" i="14"/>
  <c r="L18" i="14"/>
  <c r="L19" i="14"/>
  <c r="L20" i="14"/>
  <c r="L21" i="14"/>
  <c r="L22" i="14"/>
  <c r="L23" i="14"/>
  <c r="L25" i="14"/>
  <c r="L26" i="14"/>
  <c r="L27" i="14"/>
  <c r="L28" i="14"/>
  <c r="L29" i="14"/>
  <c r="L30" i="14"/>
  <c r="L31" i="14"/>
  <c r="L32" i="14"/>
  <c r="L33" i="14"/>
  <c r="L34" i="14"/>
  <c r="L35" i="14"/>
  <c r="L36" i="14"/>
  <c r="L37" i="14"/>
  <c r="L16" i="14"/>
  <c r="I38" i="11"/>
  <c r="I37" i="11"/>
  <c r="I94" i="11"/>
  <c r="I93" i="11"/>
  <c r="DI9" i="14"/>
  <c r="DI10" i="14" s="1"/>
  <c r="DI11" i="14" s="1"/>
  <c r="DI12" i="14" s="1"/>
  <c r="DI13" i="14" s="1"/>
  <c r="DI14" i="14" s="1"/>
  <c r="DI15" i="14" s="1"/>
  <c r="DI16" i="14" s="1"/>
  <c r="L39" i="14"/>
  <c r="L40" i="14"/>
  <c r="L41" i="14"/>
  <c r="L42" i="14"/>
  <c r="L43" i="14"/>
  <c r="L44" i="14"/>
  <c r="L45" i="14"/>
  <c r="L46" i="14"/>
  <c r="L47" i="14"/>
  <c r="L48" i="14"/>
  <c r="M48" i="14" s="1"/>
  <c r="L49" i="14"/>
  <c r="L50" i="14"/>
  <c r="L51" i="14"/>
  <c r="L52" i="14"/>
  <c r="L53" i="14"/>
  <c r="L55" i="14"/>
  <c r="L57" i="14"/>
  <c r="L38" i="14"/>
  <c r="N50" i="14"/>
  <c r="I90" i="11" l="1"/>
  <c r="N31" i="14"/>
  <c r="N36" i="14"/>
  <c r="N18" i="14"/>
  <c r="N25" i="14"/>
  <c r="N26" i="14"/>
  <c r="N27" i="14"/>
  <c r="N38" i="14"/>
  <c r="N51" i="14"/>
  <c r="N49" i="14"/>
  <c r="N53" i="14"/>
  <c r="N39" i="14"/>
  <c r="N20" i="14"/>
  <c r="N21" i="14"/>
  <c r="N22" i="14"/>
  <c r="N29" i="14"/>
  <c r="N44" i="14"/>
  <c r="N48" i="14"/>
  <c r="N42" i="14"/>
  <c r="N41" i="14"/>
  <c r="N52" i="14"/>
  <c r="N19" i="14"/>
  <c r="N40" i="14"/>
  <c r="M54" i="14"/>
  <c r="M56" i="14"/>
  <c r="M57" i="14"/>
  <c r="N28" i="14"/>
  <c r="N33" i="14"/>
  <c r="N16" i="14"/>
  <c r="N43" i="14"/>
  <c r="N17" i="14"/>
  <c r="N45" i="14"/>
  <c r="N34" i="14"/>
  <c r="N46" i="14"/>
  <c r="N47" i="14"/>
  <c r="N54" i="14"/>
  <c r="N55" i="14"/>
  <c r="N57" i="14"/>
  <c r="H24" i="14"/>
  <c r="H26" i="14"/>
  <c r="H28" i="14"/>
  <c r="H38" i="14"/>
  <c r="H42" i="14"/>
  <c r="H44" i="14"/>
  <c r="H66" i="14"/>
  <c r="H93" i="14"/>
  <c r="M50" i="14" s="1"/>
  <c r="H91" i="14"/>
  <c r="M49" i="14" s="1"/>
  <c r="H97" i="14"/>
  <c r="H32" i="14"/>
  <c r="H34" i="14"/>
  <c r="H36" i="14"/>
  <c r="H49" i="14"/>
  <c r="H79" i="14"/>
  <c r="H87" i="14"/>
  <c r="H75" i="14"/>
  <c r="H73" i="14"/>
  <c r="H68" i="14"/>
  <c r="M38" i="14" s="1"/>
  <c r="H95" i="14"/>
  <c r="H47" i="14"/>
  <c r="H57" i="14"/>
  <c r="M32" i="14" s="1"/>
  <c r="H76" i="14"/>
  <c r="H81" i="14"/>
  <c r="H59" i="14"/>
  <c r="H82" i="14"/>
  <c r="H84" i="14"/>
  <c r="H101" i="14"/>
  <c r="H30" i="14"/>
  <c r="H25" i="14"/>
  <c r="H100" i="14"/>
  <c r="H70" i="14"/>
  <c r="H77" i="14"/>
  <c r="M42" i="14" s="1"/>
  <c r="H65" i="14"/>
  <c r="H63" i="14"/>
  <c r="H61" i="14"/>
  <c r="H55" i="14"/>
  <c r="H53" i="14"/>
  <c r="H51" i="14"/>
  <c r="H41" i="14"/>
  <c r="H21" i="14"/>
  <c r="H15" i="14"/>
  <c r="M15" i="14" s="1"/>
  <c r="I105" i="11"/>
  <c r="I104" i="11"/>
  <c r="I103" i="11"/>
  <c r="I102" i="11"/>
  <c r="I101" i="11"/>
  <c r="I100" i="11"/>
  <c r="I99" i="11"/>
  <c r="I98" i="11"/>
  <c r="I97" i="11"/>
  <c r="I96" i="11"/>
  <c r="I95" i="11"/>
  <c r="I92" i="11"/>
  <c r="I91"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2" i="11"/>
  <c r="I41" i="11"/>
  <c r="I36" i="11"/>
  <c r="I35" i="11"/>
  <c r="I34" i="11"/>
  <c r="I33" i="11"/>
  <c r="I32" i="11"/>
  <c r="I31" i="11"/>
  <c r="I30" i="11"/>
  <c r="I29" i="11"/>
  <c r="I28" i="11"/>
  <c r="I27" i="11"/>
  <c r="I26" i="11"/>
  <c r="I25" i="11"/>
  <c r="I24" i="11"/>
  <c r="I23" i="11"/>
  <c r="I22" i="11"/>
  <c r="I21" i="11"/>
  <c r="I20" i="11"/>
  <c r="I19" i="11"/>
  <c r="I18" i="11"/>
  <c r="I17" i="11"/>
  <c r="I16" i="11"/>
  <c r="I15" i="11"/>
  <c r="N30" i="14"/>
  <c r="N35" i="14"/>
  <c r="N32" i="14"/>
  <c r="N37" i="14"/>
  <c r="N56" i="14"/>
  <c r="N15" i="14"/>
  <c r="M14" i="14"/>
  <c r="M8" i="14"/>
  <c r="M7" i="14"/>
  <c r="M5" i="14"/>
  <c r="M4" i="14"/>
  <c r="M3" i="14"/>
  <c r="H104" i="14"/>
  <c r="H103" i="14"/>
  <c r="M55" i="14" s="1"/>
  <c r="H102" i="14"/>
  <c r="H99" i="14"/>
  <c r="M53" i="14" s="1"/>
  <c r="H98" i="14"/>
  <c r="H96" i="14"/>
  <c r="H94" i="14"/>
  <c r="H92" i="14"/>
  <c r="H86" i="14"/>
  <c r="M47" i="14" s="1"/>
  <c r="H85" i="14"/>
  <c r="H83" i="14"/>
  <c r="H80" i="14"/>
  <c r="H78" i="14"/>
  <c r="H74" i="14"/>
  <c r="H72" i="14"/>
  <c r="H71" i="14"/>
  <c r="H69" i="14"/>
  <c r="H67" i="14"/>
  <c r="H64" i="14"/>
  <c r="H62" i="14"/>
  <c r="H60" i="14"/>
  <c r="H58" i="14"/>
  <c r="H56" i="14"/>
  <c r="H54" i="14"/>
  <c r="H52" i="14"/>
  <c r="H50" i="14"/>
  <c r="H48" i="14"/>
  <c r="H46" i="14"/>
  <c r="H45" i="14"/>
  <c r="H37" i="14"/>
  <c r="M23" i="14" s="1"/>
  <c r="H35" i="14"/>
  <c r="H33" i="14"/>
  <c r="H31" i="14"/>
  <c r="H29" i="14"/>
  <c r="H27" i="14"/>
  <c r="H23" i="14"/>
  <c r="H22" i="14"/>
  <c r="H20" i="14"/>
  <c r="H19" i="14"/>
  <c r="H18" i="14"/>
  <c r="H17" i="14"/>
  <c r="H16" i="14"/>
  <c r="N4" i="14"/>
  <c r="N3" i="14"/>
  <c r="O3" i="14" s="1"/>
  <c r="N5" i="14"/>
  <c r="N6" i="14"/>
  <c r="N7" i="14"/>
  <c r="N8" i="14"/>
  <c r="N9" i="14"/>
  <c r="N10" i="14"/>
  <c r="N11" i="14"/>
  <c r="N12" i="14"/>
  <c r="N13" i="14"/>
  <c r="O55" i="14" l="1"/>
  <c r="EG56" i="47" s="1"/>
  <c r="O56" i="14"/>
  <c r="EG57" i="47" s="1"/>
  <c r="O54" i="14"/>
  <c r="EG55" i="47" s="1"/>
  <c r="M41" i="14"/>
  <c r="O41" i="14" s="1"/>
  <c r="EG42" i="47" s="1"/>
  <c r="M25" i="14"/>
  <c r="O25" i="14" s="1"/>
  <c r="EG24" i="47" s="1"/>
  <c r="M35" i="14"/>
  <c r="O35" i="14" s="1"/>
  <c r="EG36" i="47" s="1"/>
  <c r="M36" i="14"/>
  <c r="M34" i="14"/>
  <c r="O34" i="14" s="1"/>
  <c r="EG35" i="47" s="1"/>
  <c r="M37" i="14"/>
  <c r="O37" i="14" s="1"/>
  <c r="EG38" i="47" s="1"/>
  <c r="M39" i="14"/>
  <c r="O39" i="14" s="1"/>
  <c r="EG40" i="47" s="1"/>
  <c r="M18" i="14"/>
  <c r="O18" i="14" s="1"/>
  <c r="EG17" i="47" s="1"/>
  <c r="O57" i="14"/>
  <c r="M40" i="14"/>
  <c r="O40" i="14" s="1"/>
  <c r="EG41" i="47" s="1"/>
  <c r="V10" i="47"/>
  <c r="EG2" i="47"/>
  <c r="EL4" i="47" s="1"/>
  <c r="M44" i="14"/>
  <c r="O44" i="14" s="1"/>
  <c r="EG45" i="47" s="1"/>
  <c r="M46" i="14"/>
  <c r="O46" i="14" s="1"/>
  <c r="EG47" i="47" s="1"/>
  <c r="M43" i="14"/>
  <c r="O43" i="14" s="1"/>
  <c r="EG44" i="47" s="1"/>
  <c r="M31" i="14"/>
  <c r="O31" i="14" s="1"/>
  <c r="EG32" i="47" s="1"/>
  <c r="M51" i="14"/>
  <c r="O51" i="14" s="1"/>
  <c r="EG52" i="47" s="1"/>
  <c r="M26" i="14"/>
  <c r="O26" i="14" s="1"/>
  <c r="EG25" i="47" s="1"/>
  <c r="M45" i="14"/>
  <c r="O45" i="14" s="1"/>
  <c r="EG46" i="47" s="1"/>
  <c r="O24" i="14"/>
  <c r="EG23" i="47" s="1"/>
  <c r="M16" i="14"/>
  <c r="O16" i="14" s="1"/>
  <c r="EG15" i="47" s="1"/>
  <c r="M52" i="14"/>
  <c r="O52" i="14" s="1"/>
  <c r="EG53" i="47" s="1"/>
  <c r="M28" i="14"/>
  <c r="O28" i="14" s="1"/>
  <c r="EG27" i="47" s="1"/>
  <c r="M33" i="14"/>
  <c r="O33" i="14" s="1"/>
  <c r="M30" i="14"/>
  <c r="O30" i="14" s="1"/>
  <c r="EG29" i="47" s="1"/>
  <c r="M29" i="14"/>
  <c r="O29" i="14" s="1"/>
  <c r="EG28" i="47" s="1"/>
  <c r="M27" i="14"/>
  <c r="O27" i="14" s="1"/>
  <c r="EG26" i="47" s="1"/>
  <c r="O23" i="14"/>
  <c r="EG22" i="47" s="1"/>
  <c r="M22" i="14"/>
  <c r="O22" i="14" s="1"/>
  <c r="EG21" i="47" s="1"/>
  <c r="M20" i="14"/>
  <c r="O20" i="14" s="1"/>
  <c r="EG19" i="47" s="1"/>
  <c r="O48" i="14"/>
  <c r="EG49" i="47" s="1"/>
  <c r="M21" i="14"/>
  <c r="O21" i="14" s="1"/>
  <c r="EG20" i="47" s="1"/>
  <c r="M19" i="14"/>
  <c r="O19" i="14" s="1"/>
  <c r="EG18" i="47" s="1"/>
  <c r="O42" i="14"/>
  <c r="EG43" i="47" s="1"/>
  <c r="O47" i="14"/>
  <c r="EG48" i="47" s="1"/>
  <c r="O50" i="14"/>
  <c r="EG51" i="47" s="1"/>
  <c r="M17" i="14"/>
  <c r="O17" i="14" s="1"/>
  <c r="EG16" i="47" s="1"/>
  <c r="O38" i="14"/>
  <c r="EG39" i="47" s="1"/>
  <c r="O53" i="14"/>
  <c r="EG54" i="47" s="1"/>
  <c r="O11" i="14"/>
  <c r="O8" i="14"/>
  <c r="A4" i="28"/>
  <c r="O7" i="14"/>
  <c r="O12" i="14"/>
  <c r="O14" i="14"/>
  <c r="O4" i="14"/>
  <c r="O10" i="14"/>
  <c r="O6" i="14"/>
  <c r="O32" i="14"/>
  <c r="EG33" i="47" s="1"/>
  <c r="O13" i="14"/>
  <c r="O9" i="14"/>
  <c r="O5" i="14"/>
  <c r="O49" i="14"/>
  <c r="EG50" i="47" s="1"/>
  <c r="O36" i="14"/>
  <c r="EG37" i="47" s="1"/>
  <c r="V118" i="47" l="1"/>
  <c r="AN8" i="47" s="1"/>
  <c r="V115" i="47"/>
  <c r="V117" i="47"/>
  <c r="V116" i="47"/>
  <c r="DB8" i="47" s="1"/>
  <c r="EG34" i="47"/>
  <c r="DE247" i="14"/>
  <c r="EG58" i="47"/>
  <c r="DE87" i="14"/>
  <c r="DB88" i="14" s="1"/>
  <c r="CH27" i="14" s="1"/>
  <c r="EG13" i="47"/>
  <c r="EW4" i="47" s="1"/>
  <c r="EG12" i="47"/>
  <c r="EV4" i="47" s="1"/>
  <c r="EG11" i="47"/>
  <c r="EU4" i="47" s="1"/>
  <c r="EG10" i="47"/>
  <c r="ET4" i="47" s="1"/>
  <c r="EG9" i="47"/>
  <c r="ES15" i="47" s="1"/>
  <c r="EG8" i="47"/>
  <c r="ER4" i="47" s="1"/>
  <c r="EG7" i="47"/>
  <c r="EQ4" i="47" s="1"/>
  <c r="EG6" i="47"/>
  <c r="EP4" i="47" s="1"/>
  <c r="EG5" i="47"/>
  <c r="EO4" i="47" s="1"/>
  <c r="EG4" i="47"/>
  <c r="EN4" i="47" s="1"/>
  <c r="EG3" i="47"/>
  <c r="EM4" i="47" s="1"/>
  <c r="DE265" i="14"/>
  <c r="V28" i="47"/>
  <c r="W28" i="47" s="1"/>
  <c r="EL28" i="47"/>
  <c r="EL29" i="47"/>
  <c r="DE246" i="14"/>
  <c r="DE255" i="14"/>
  <c r="V50" i="47"/>
  <c r="W50" i="47" s="1"/>
  <c r="V51" i="47"/>
  <c r="W51" i="47" s="1"/>
  <c r="CT51" i="14"/>
  <c r="CU51" i="14" s="1"/>
  <c r="CT50" i="14"/>
  <c r="CU50" i="14" s="1"/>
  <c r="EL2" i="47"/>
  <c r="EL18" i="47"/>
  <c r="EL8" i="47"/>
  <c r="EL19" i="47"/>
  <c r="EL9" i="47"/>
  <c r="EL21" i="47"/>
  <c r="EL11" i="47"/>
  <c r="EL24" i="47"/>
  <c r="EL14" i="47"/>
  <c r="EL3" i="47"/>
  <c r="EL17" i="47"/>
  <c r="EL7" i="47"/>
  <c r="EL27" i="47"/>
  <c r="EL13" i="47"/>
  <c r="EL20" i="47"/>
  <c r="EL10" i="47"/>
  <c r="EL23" i="47"/>
  <c r="EL26" i="47"/>
  <c r="EL16" i="47"/>
  <c r="EL6" i="47"/>
  <c r="EL22" i="47"/>
  <c r="EL12" i="47"/>
  <c r="EL25" i="47"/>
  <c r="EL15" i="47"/>
  <c r="EL5" i="47"/>
  <c r="V97" i="47"/>
  <c r="W97" i="47" s="1"/>
  <c r="V98" i="47"/>
  <c r="W98" i="47" s="1"/>
  <c r="V99" i="47"/>
  <c r="W99" i="47" s="1"/>
  <c r="CA21" i="14"/>
  <c r="CB21" i="14" s="1"/>
  <c r="V67" i="47"/>
  <c r="W67" i="47" s="1"/>
  <c r="V68" i="47"/>
  <c r="W68" i="47" s="1"/>
  <c r="K4" i="28"/>
  <c r="V20" i="47"/>
  <c r="H4" i="28"/>
  <c r="V17" i="47"/>
  <c r="E4" i="28"/>
  <c r="V14" i="47"/>
  <c r="V106" i="47"/>
  <c r="W106" i="47" s="1"/>
  <c r="V107" i="47"/>
  <c r="W107" i="47" s="1"/>
  <c r="V100" i="47"/>
  <c r="W100" i="47" s="1"/>
  <c r="V101" i="47"/>
  <c r="W101" i="47" s="1"/>
  <c r="CT18" i="14"/>
  <c r="CU18" i="14" s="1"/>
  <c r="V83" i="47"/>
  <c r="W83" i="47" s="1"/>
  <c r="V84" i="47"/>
  <c r="W84" i="47" s="1"/>
  <c r="V34" i="47"/>
  <c r="W34" i="47" s="1"/>
  <c r="V35" i="47"/>
  <c r="W35" i="47" s="1"/>
  <c r="V42" i="47"/>
  <c r="W42" i="47" s="1"/>
  <c r="V43" i="47"/>
  <c r="W43" i="47" s="1"/>
  <c r="CA20" i="14"/>
  <c r="CB20" i="14" s="1"/>
  <c r="V58" i="47"/>
  <c r="W58" i="47" s="1"/>
  <c r="V57" i="47"/>
  <c r="W57" i="47" s="1"/>
  <c r="V49" i="47"/>
  <c r="W49" i="47" s="1"/>
  <c r="V48" i="47"/>
  <c r="W48" i="47" s="1"/>
  <c r="V90" i="47"/>
  <c r="W90" i="47" s="1"/>
  <c r="V89" i="47"/>
  <c r="W89" i="47" s="1"/>
  <c r="V113" i="47"/>
  <c r="W113" i="47" s="1"/>
  <c r="V112" i="47"/>
  <c r="W112" i="47" s="1"/>
  <c r="V74" i="47"/>
  <c r="W74" i="47" s="1"/>
  <c r="V73" i="47"/>
  <c r="W73" i="47" s="1"/>
  <c r="V70" i="47"/>
  <c r="W70" i="47" s="1"/>
  <c r="V69" i="47"/>
  <c r="W69" i="47" s="1"/>
  <c r="B4" i="28"/>
  <c r="V11" i="47"/>
  <c r="CT45" i="14"/>
  <c r="CU45" i="14" s="1"/>
  <c r="V91" i="47"/>
  <c r="W91" i="47" s="1"/>
  <c r="V92" i="47"/>
  <c r="W92" i="47" s="1"/>
  <c r="V86" i="47"/>
  <c r="W86" i="47" s="1"/>
  <c r="V85" i="47"/>
  <c r="W85" i="47" s="1"/>
  <c r="V37" i="47"/>
  <c r="W37" i="47" s="1"/>
  <c r="V36" i="47"/>
  <c r="W36" i="47" s="1"/>
  <c r="V87" i="47"/>
  <c r="W87" i="47" s="1"/>
  <c r="V88" i="47"/>
  <c r="W88" i="47" s="1"/>
  <c r="V81" i="47"/>
  <c r="W81" i="47" s="1"/>
  <c r="V82" i="47"/>
  <c r="W82" i="47" s="1"/>
  <c r="V59" i="47"/>
  <c r="W59" i="47" s="1"/>
  <c r="V60" i="47"/>
  <c r="W60" i="47" s="1"/>
  <c r="V104" i="47"/>
  <c r="W104" i="47" s="1"/>
  <c r="V105" i="47"/>
  <c r="W105" i="47" s="1"/>
  <c r="V52" i="47"/>
  <c r="W52" i="47" s="1"/>
  <c r="CT47" i="14"/>
  <c r="CU47" i="14" s="1"/>
  <c r="V108" i="47"/>
  <c r="V109" i="47" s="1"/>
  <c r="C4" i="28"/>
  <c r="V12" i="47"/>
  <c r="AD4" i="28"/>
  <c r="V63" i="47"/>
  <c r="W63" i="47" s="1"/>
  <c r="V64" i="47"/>
  <c r="W64" i="47" s="1"/>
  <c r="L4" i="28"/>
  <c r="V21" i="47"/>
  <c r="F4" i="28"/>
  <c r="V15" i="47"/>
  <c r="V75" i="47"/>
  <c r="W75" i="47" s="1"/>
  <c r="V76" i="47"/>
  <c r="W76" i="47" s="1"/>
  <c r="V78" i="47"/>
  <c r="W78" i="47" s="1"/>
  <c r="V77" i="47"/>
  <c r="W77" i="47" s="1"/>
  <c r="V40" i="47"/>
  <c r="W40" i="47" s="1"/>
  <c r="V41" i="47"/>
  <c r="W41" i="47" s="1"/>
  <c r="V79" i="47"/>
  <c r="W79" i="47" s="1"/>
  <c r="V80" i="47"/>
  <c r="W80" i="47" s="1"/>
  <c r="CT49" i="14"/>
  <c r="V45" i="47"/>
  <c r="W45" i="47" s="1"/>
  <c r="V44" i="47"/>
  <c r="W44" i="47" s="1"/>
  <c r="V65" i="47"/>
  <c r="W65" i="47" s="1"/>
  <c r="V66" i="47"/>
  <c r="W66" i="47" s="1"/>
  <c r="V26" i="47"/>
  <c r="W26" i="47" s="1"/>
  <c r="V27" i="47"/>
  <c r="W27" i="47" s="1"/>
  <c r="W29" i="47"/>
  <c r="V103" i="47"/>
  <c r="W103" i="47" s="1"/>
  <c r="V102" i="47"/>
  <c r="W102" i="47" s="1"/>
  <c r="V71" i="47"/>
  <c r="W71" i="47" s="1"/>
  <c r="V72" i="47"/>
  <c r="W72" i="47" s="1"/>
  <c r="BB4" i="28"/>
  <c r="V114" i="47"/>
  <c r="G4" i="28"/>
  <c r="V16" i="47"/>
  <c r="D4" i="28"/>
  <c r="V13" i="47"/>
  <c r="J4" i="28"/>
  <c r="V19" i="47"/>
  <c r="I4" i="28"/>
  <c r="V18" i="47"/>
  <c r="V33" i="47"/>
  <c r="W33" i="47" s="1"/>
  <c r="V32" i="47"/>
  <c r="W32" i="47" s="1"/>
  <c r="CT46" i="14"/>
  <c r="CU46" i="14" s="1"/>
  <c r="V94" i="47"/>
  <c r="W94" i="47" s="1"/>
  <c r="V93" i="47"/>
  <c r="W93" i="47" s="1"/>
  <c r="CA50" i="14"/>
  <c r="CB50" i="14" s="1"/>
  <c r="V95" i="47"/>
  <c r="W95" i="47" s="1"/>
  <c r="V96" i="47"/>
  <c r="W96" i="47" s="1"/>
  <c r="V38" i="47"/>
  <c r="W38" i="47" s="1"/>
  <c r="V39" i="47"/>
  <c r="W39" i="47" s="1"/>
  <c r="V53" i="47"/>
  <c r="W53" i="47" s="1"/>
  <c r="V54" i="47"/>
  <c r="W54" i="47" s="1"/>
  <c r="V55" i="47"/>
  <c r="W55" i="47" s="1"/>
  <c r="V56" i="47"/>
  <c r="W56" i="47" s="1"/>
  <c r="V46" i="47"/>
  <c r="W46" i="47" s="1"/>
  <c r="V47" i="47"/>
  <c r="W47" i="47" s="1"/>
  <c r="V62" i="47"/>
  <c r="W62" i="47" s="1"/>
  <c r="V61" i="47"/>
  <c r="W61" i="47" s="1"/>
  <c r="CG43" i="14"/>
  <c r="CH43" i="14" s="1"/>
  <c r="CG30" i="14"/>
  <c r="CH30" i="14" s="1"/>
  <c r="CA46" i="14"/>
  <c r="CB46" i="14" s="1"/>
  <c r="CG29" i="14"/>
  <c r="CH29" i="14" s="1"/>
  <c r="CG42" i="14"/>
  <c r="CH42" i="14" s="1"/>
  <c r="CA49" i="14"/>
  <c r="CB49" i="14" s="1"/>
  <c r="CA36" i="14"/>
  <c r="CB36" i="14" s="1"/>
  <c r="CP25" i="14"/>
  <c r="CQ25" i="14" s="1"/>
  <c r="CT30" i="14"/>
  <c r="CU30" i="14" s="1"/>
  <c r="CT44" i="14"/>
  <c r="CU44" i="14" s="1"/>
  <c r="CT14" i="14"/>
  <c r="CU14" i="14" s="1"/>
  <c r="BA4" i="28"/>
  <c r="CT48" i="14"/>
  <c r="CU48" i="14" s="1"/>
  <c r="AB4" i="28"/>
  <c r="CA18" i="14"/>
  <c r="CB18" i="14" s="1"/>
  <c r="CG19" i="14"/>
  <c r="CH19" i="14" s="1"/>
  <c r="CA19" i="14"/>
  <c r="CB19" i="14" s="1"/>
  <c r="V4" i="28"/>
  <c r="CA47" i="14"/>
  <c r="CB47" i="14" s="1"/>
  <c r="CA40" i="14"/>
  <c r="CB40" i="14" s="1"/>
  <c r="Z4" i="28"/>
  <c r="CA45" i="14"/>
  <c r="CA42" i="14"/>
  <c r="CB42" i="14" s="1"/>
  <c r="CP45" i="14"/>
  <c r="CQ45" i="14" s="1"/>
  <c r="CA41" i="14"/>
  <c r="CB41" i="14" s="1"/>
  <c r="CT4" i="14"/>
  <c r="CU4" i="14" s="1"/>
  <c r="U4" i="28"/>
  <c r="CA9" i="14"/>
  <c r="CB9" i="14" s="1"/>
  <c r="CT43" i="14"/>
  <c r="CU43" i="14" s="1"/>
  <c r="CG27" i="14"/>
  <c r="CT25" i="14"/>
  <c r="CU25" i="14" s="1"/>
  <c r="AG4" i="28"/>
  <c r="AL4" i="28"/>
  <c r="CA8" i="14"/>
  <c r="CB8" i="14" s="1"/>
  <c r="CG40" i="14"/>
  <c r="BC4" i="28"/>
  <c r="AR4" i="28"/>
  <c r="CA32" i="14"/>
  <c r="CB32" i="14" s="1"/>
  <c r="AO4" i="28"/>
  <c r="CA29" i="14"/>
  <c r="CB29" i="14" s="1"/>
  <c r="CG41" i="14"/>
  <c r="CH41" i="14" s="1"/>
  <c r="CA12" i="14"/>
  <c r="CB12" i="14" s="1"/>
  <c r="CA35" i="14"/>
  <c r="CB35" i="14" s="1"/>
  <c r="CG28" i="14"/>
  <c r="CH28" i="14" s="1"/>
  <c r="AF4" i="28"/>
  <c r="CA28" i="14"/>
  <c r="CB28" i="14" s="1"/>
  <c r="N4" i="28"/>
  <c r="AS4" i="28"/>
  <c r="O4" i="28"/>
  <c r="CA13" i="14"/>
  <c r="CB13" i="14" s="1"/>
  <c r="AQ4" i="28"/>
  <c r="CT40" i="14"/>
  <c r="CU40" i="14" s="1"/>
  <c r="CP43" i="14"/>
  <c r="CQ43" i="14" s="1"/>
  <c r="CP42" i="14"/>
  <c r="CQ42" i="14" s="1"/>
  <c r="CG18" i="14"/>
  <c r="CH18" i="14" s="1"/>
  <c r="CA34" i="14"/>
  <c r="CB34" i="14" s="1"/>
  <c r="CG26" i="14"/>
  <c r="CH26" i="14" s="1"/>
  <c r="AZ4" i="28"/>
  <c r="CA26" i="14"/>
  <c r="CB26" i="14" s="1"/>
  <c r="AI4" i="28"/>
  <c r="AE4" i="28"/>
  <c r="CA33" i="14"/>
  <c r="CB33" i="14" s="1"/>
  <c r="CG23" i="14"/>
  <c r="CH23" i="14" s="1"/>
  <c r="CG16" i="14"/>
  <c r="CH16" i="14" s="1"/>
  <c r="CT22" i="14"/>
  <c r="CU22" i="14" s="1"/>
  <c r="Q4" i="28"/>
  <c r="CG3" i="14"/>
  <c r="CH3" i="14" s="1"/>
  <c r="AX4" i="28"/>
  <c r="CT26" i="14"/>
  <c r="CU26" i="14" s="1"/>
  <c r="CA16" i="14"/>
  <c r="CB16" i="14" s="1"/>
  <c r="AC4" i="28"/>
  <c r="CP16" i="14"/>
  <c r="CQ16" i="14" s="1"/>
  <c r="CT3" i="14"/>
  <c r="CU3" i="14" s="1"/>
  <c r="P4" i="28"/>
  <c r="CP17" i="14"/>
  <c r="CQ17" i="14" s="1"/>
  <c r="CG24" i="14"/>
  <c r="CH24" i="14" s="1"/>
  <c r="CT8" i="14"/>
  <c r="CU8" i="14" s="1"/>
  <c r="CT27" i="14"/>
  <c r="CU27" i="14" s="1"/>
  <c r="CG4" i="14"/>
  <c r="CH4" i="14" s="1"/>
  <c r="CG17" i="14"/>
  <c r="CH17" i="14" s="1"/>
  <c r="AJ4" i="28"/>
  <c r="CG5" i="14"/>
  <c r="CH5" i="14" s="1"/>
  <c r="CT12" i="14"/>
  <c r="CU12" i="14" s="1"/>
  <c r="AY4" i="28"/>
  <c r="CP5" i="14"/>
  <c r="CQ5" i="14" s="1"/>
  <c r="T4" i="28"/>
  <c r="CP9" i="14"/>
  <c r="CQ9" i="14" s="1"/>
  <c r="AN4" i="28"/>
  <c r="CT20" i="14"/>
  <c r="CU20" i="14" s="1"/>
  <c r="CT28" i="14"/>
  <c r="CU28" i="14" s="1"/>
  <c r="CT5" i="14"/>
  <c r="CU5" i="14" s="1"/>
  <c r="W4" i="28"/>
  <c r="CT9" i="14"/>
  <c r="CU9" i="14" s="1"/>
  <c r="CG6" i="14"/>
  <c r="CH6" i="14" s="1"/>
  <c r="AW4" i="28"/>
  <c r="CP18" i="14"/>
  <c r="CQ18" i="14" s="1"/>
  <c r="CT13" i="14"/>
  <c r="CU13" i="14" s="1"/>
  <c r="AK4" i="28"/>
  <c r="CT42" i="14"/>
  <c r="CU42" i="14" s="1"/>
  <c r="CP6" i="14"/>
  <c r="CQ6" i="14" s="1"/>
  <c r="AA4" i="28"/>
  <c r="CT19" i="14"/>
  <c r="CU19" i="14" s="1"/>
  <c r="CP10" i="14"/>
  <c r="CQ10" i="14" s="1"/>
  <c r="AM4" i="28"/>
  <c r="CT21" i="14"/>
  <c r="CU21" i="14" s="1"/>
  <c r="CT41" i="14"/>
  <c r="CU41" i="14" s="1"/>
  <c r="CT6" i="14"/>
  <c r="CU6" i="14" s="1"/>
  <c r="CT29" i="14"/>
  <c r="CU29" i="14" s="1"/>
  <c r="X4" i="28"/>
  <c r="CA11" i="14"/>
  <c r="CB11" i="14" s="1"/>
  <c r="CT10" i="14"/>
  <c r="CU10" i="14" s="1"/>
  <c r="AU4" i="28"/>
  <c r="CP3" i="14"/>
  <c r="CQ3" i="14" s="1"/>
  <c r="CP26" i="14"/>
  <c r="CQ26" i="14" s="1"/>
  <c r="R4" i="28"/>
  <c r="CT16" i="14"/>
  <c r="CU16" i="14" s="1"/>
  <c r="CA27" i="14"/>
  <c r="CB27" i="14" s="1"/>
  <c r="CP40" i="14"/>
  <c r="CQ40" i="14" s="1"/>
  <c r="CP7" i="14"/>
  <c r="CQ7" i="14" s="1"/>
  <c r="AP4" i="28"/>
  <c r="CA17" i="14"/>
  <c r="CB17" i="14" s="1"/>
  <c r="AH4" i="28"/>
  <c r="CT23" i="14"/>
  <c r="CU23" i="14" s="1"/>
  <c r="CT7" i="14"/>
  <c r="CU7" i="14" s="1"/>
  <c r="Y4" i="28"/>
  <c r="CT11" i="14"/>
  <c r="CU11" i="14" s="1"/>
  <c r="AV4" i="28"/>
  <c r="CP4" i="14"/>
  <c r="CQ4" i="14" s="1"/>
  <c r="S4" i="28"/>
  <c r="CP41" i="14"/>
  <c r="CQ41" i="14" s="1"/>
  <c r="CT17" i="14"/>
  <c r="CU17" i="14" s="1"/>
  <c r="CP8" i="14"/>
  <c r="CQ8" i="14" s="1"/>
  <c r="AT4" i="28"/>
  <c r="EW5" i="47" l="1"/>
  <c r="EW6" i="47"/>
  <c r="EW15" i="47"/>
  <c r="EW25" i="47"/>
  <c r="DB248" i="14"/>
  <c r="EW13" i="47"/>
  <c r="EW7" i="47"/>
  <c r="EW22" i="47"/>
  <c r="EW9" i="47"/>
  <c r="EW19" i="47"/>
  <c r="EW28" i="47"/>
  <c r="EW23" i="47"/>
  <c r="EW2" i="47"/>
  <c r="EW17" i="47"/>
  <c r="EW10" i="47"/>
  <c r="EW16" i="47"/>
  <c r="EW20" i="47"/>
  <c r="EW12" i="47"/>
  <c r="EW3" i="47"/>
  <c r="EW14" i="47"/>
  <c r="EW24" i="47"/>
  <c r="EW27" i="47"/>
  <c r="EW11" i="47"/>
  <c r="EW21" i="47"/>
  <c r="EW8" i="47"/>
  <c r="EW26" i="47"/>
  <c r="EW18" i="47"/>
  <c r="EW29" i="47"/>
  <c r="EV29" i="47"/>
  <c r="EV24" i="47"/>
  <c r="EV11" i="47"/>
  <c r="EV2" i="47"/>
  <c r="EV15" i="47"/>
  <c r="EV9" i="47"/>
  <c r="EV10" i="47"/>
  <c r="EV23" i="47"/>
  <c r="EV22" i="47"/>
  <c r="EV13" i="47"/>
  <c r="EV19" i="47"/>
  <c r="EV17" i="47"/>
  <c r="EV26" i="47"/>
  <c r="EU5" i="47"/>
  <c r="EU25" i="47"/>
  <c r="EU9" i="47"/>
  <c r="EU2" i="47"/>
  <c r="EV14" i="47"/>
  <c r="ES12" i="47"/>
  <c r="EV27" i="47"/>
  <c r="EU19" i="47"/>
  <c r="EU20" i="47"/>
  <c r="EU27" i="47"/>
  <c r="EU14" i="47"/>
  <c r="EU15" i="47"/>
  <c r="ES29" i="47"/>
  <c r="ES22" i="47"/>
  <c r="ES28" i="47"/>
  <c r="ER14" i="47"/>
  <c r="ER3" i="47"/>
  <c r="ET11" i="47"/>
  <c r="ET25" i="47"/>
  <c r="ET23" i="47"/>
  <c r="ES26" i="47"/>
  <c r="ES10" i="47"/>
  <c r="ES23" i="47"/>
  <c r="ES8" i="47"/>
  <c r="ER7" i="47"/>
  <c r="EV7" i="47"/>
  <c r="ET24" i="47"/>
  <c r="ET27" i="47"/>
  <c r="ET21" i="47"/>
  <c r="ET16" i="47"/>
  <c r="ER12" i="47"/>
  <c r="ER6" i="47"/>
  <c r="ET6" i="47"/>
  <c r="ES9" i="47"/>
  <c r="ES19" i="47"/>
  <c r="ES6" i="47"/>
  <c r="ES16" i="47"/>
  <c r="ES7" i="47"/>
  <c r="ET26" i="47"/>
  <c r="ES14" i="47"/>
  <c r="ET13" i="47"/>
  <c r="EU6" i="47"/>
  <c r="EU17" i="47"/>
  <c r="EU16" i="47"/>
  <c r="EU3" i="47"/>
  <c r="EU26" i="47"/>
  <c r="EU24" i="47"/>
  <c r="EU23" i="47"/>
  <c r="EU8" i="47"/>
  <c r="EU11" i="47"/>
  <c r="EU18" i="47"/>
  <c r="EU21" i="47"/>
  <c r="ES11" i="47"/>
  <c r="EV25" i="47"/>
  <c r="EV20" i="47"/>
  <c r="ES25" i="47"/>
  <c r="ES5" i="47"/>
  <c r="ET7" i="47"/>
  <c r="ET17" i="47"/>
  <c r="ET18" i="47"/>
  <c r="ET2" i="47"/>
  <c r="ET22" i="47"/>
  <c r="ET3" i="47"/>
  <c r="ER18" i="47"/>
  <c r="ER2" i="47"/>
  <c r="ER10" i="47"/>
  <c r="ER26" i="47"/>
  <c r="ER21" i="47"/>
  <c r="ER5" i="47"/>
  <c r="ES21" i="47"/>
  <c r="EU22" i="47"/>
  <c r="EU10" i="47"/>
  <c r="EV28" i="47"/>
  <c r="EV8" i="47"/>
  <c r="EV18" i="47"/>
  <c r="EV21" i="47"/>
  <c r="EV16" i="47"/>
  <c r="ET19" i="47"/>
  <c r="ES17" i="47"/>
  <c r="ES2" i="47"/>
  <c r="ET10" i="47"/>
  <c r="ES24" i="47"/>
  <c r="ET8" i="47"/>
  <c r="ET20" i="47"/>
  <c r="ER8" i="47"/>
  <c r="ER16" i="47"/>
  <c r="ER20" i="47"/>
  <c r="ER11" i="47"/>
  <c r="ER19" i="47"/>
  <c r="ER23" i="47"/>
  <c r="ER15" i="47"/>
  <c r="ER22" i="47"/>
  <c r="ER25" i="47"/>
  <c r="ER17" i="47"/>
  <c r="ER27" i="47"/>
  <c r="ER9" i="47"/>
  <c r="ER13" i="47"/>
  <c r="ER24" i="47"/>
  <c r="ET12" i="47"/>
  <c r="ET5" i="47"/>
  <c r="ES20" i="47"/>
  <c r="ES18" i="47"/>
  <c r="EU7" i="47"/>
  <c r="EU12" i="47"/>
  <c r="EU13" i="47"/>
  <c r="ET9" i="47"/>
  <c r="ET15" i="47"/>
  <c r="ES27" i="47"/>
  <c r="ES3" i="47"/>
  <c r="ES13" i="47"/>
  <c r="EM6" i="47"/>
  <c r="EM15" i="47"/>
  <c r="EM18" i="47"/>
  <c r="EM23" i="47"/>
  <c r="EM17" i="47"/>
  <c r="EM5" i="47"/>
  <c r="ET29" i="47"/>
  <c r="EN10" i="47"/>
  <c r="EN27" i="47"/>
  <c r="EN6" i="47"/>
  <c r="EM22" i="47"/>
  <c r="EO6" i="47"/>
  <c r="EN16" i="47"/>
  <c r="EM19" i="47"/>
  <c r="EQ19" i="47"/>
  <c r="ER29" i="47"/>
  <c r="EU29" i="47"/>
  <c r="EN18" i="47"/>
  <c r="EQ12" i="47"/>
  <c r="EQ22" i="47"/>
  <c r="EQ9" i="47"/>
  <c r="EQ6" i="47"/>
  <c r="EN3" i="47"/>
  <c r="EO16" i="47"/>
  <c r="EQ18" i="47"/>
  <c r="EN14" i="47"/>
  <c r="EO10" i="47"/>
  <c r="EQ7" i="47"/>
  <c r="EN20" i="47"/>
  <c r="EM20" i="47"/>
  <c r="EO12" i="47"/>
  <c r="EQ17" i="47"/>
  <c r="EN23" i="47"/>
  <c r="EQ8" i="47"/>
  <c r="EQ27" i="47"/>
  <c r="EM29" i="47"/>
  <c r="EN26" i="47"/>
  <c r="EQ3" i="47"/>
  <c r="ET28" i="47"/>
  <c r="ET14" i="47"/>
  <c r="ER28" i="47"/>
  <c r="EQ14" i="47"/>
  <c r="EQ16" i="47"/>
  <c r="EQ24" i="47"/>
  <c r="EQ26" i="47"/>
  <c r="EQ11" i="47"/>
  <c r="EQ2" i="47"/>
  <c r="EQ29" i="47"/>
  <c r="EQ21" i="47"/>
  <c r="EQ10" i="47"/>
  <c r="EQ28" i="47"/>
  <c r="EQ5" i="47"/>
  <c r="EQ20" i="47"/>
  <c r="EO20" i="47"/>
  <c r="EO11" i="47"/>
  <c r="EO21" i="47"/>
  <c r="EO28" i="47"/>
  <c r="EO2" i="47"/>
  <c r="EO15" i="47"/>
  <c r="EO25" i="47"/>
  <c r="EN15" i="47"/>
  <c r="EN25" i="47"/>
  <c r="EN13" i="47"/>
  <c r="EN21" i="47"/>
  <c r="EN11" i="47"/>
  <c r="EN2" i="47"/>
  <c r="EN24" i="47"/>
  <c r="EN19" i="47"/>
  <c r="EN12" i="47"/>
  <c r="EN22" i="47"/>
  <c r="EN28" i="47"/>
  <c r="EN17" i="47"/>
  <c r="EN9" i="47"/>
  <c r="EM25" i="47"/>
  <c r="EM16" i="47"/>
  <c r="EM3" i="47"/>
  <c r="EM28" i="47"/>
  <c r="EM11" i="47"/>
  <c r="EM26" i="47"/>
  <c r="EM14" i="47"/>
  <c r="EM21" i="47"/>
  <c r="EM2" i="47"/>
  <c r="EM24" i="47"/>
  <c r="EM8" i="47"/>
  <c r="EM13" i="47"/>
  <c r="EM27" i="47"/>
  <c r="EM12" i="47"/>
  <c r="EM10" i="47"/>
  <c r="EM9" i="47"/>
  <c r="EM7" i="47"/>
  <c r="EV5" i="47"/>
  <c r="EV12" i="47"/>
  <c r="EV3" i="47"/>
  <c r="EU28" i="47"/>
  <c r="ES4" i="47"/>
  <c r="EQ15" i="47"/>
  <c r="EQ13" i="47"/>
  <c r="EQ25" i="47"/>
  <c r="EQ23" i="47"/>
  <c r="EP25" i="47"/>
  <c r="EP7" i="47"/>
  <c r="EP2" i="47"/>
  <c r="EP17" i="47"/>
  <c r="EP9" i="47"/>
  <c r="EP6" i="47"/>
  <c r="EP19" i="47"/>
  <c r="EP3" i="47"/>
  <c r="EP22" i="47"/>
  <c r="EP16" i="47"/>
  <c r="EP24" i="47"/>
  <c r="EP29" i="47"/>
  <c r="EP8" i="47"/>
  <c r="EP13" i="47"/>
  <c r="EP11" i="47"/>
  <c r="EP28" i="47"/>
  <c r="EP18" i="47"/>
  <c r="EP23" i="47"/>
  <c r="EP21" i="47"/>
  <c r="EP26" i="47"/>
  <c r="EP5" i="47"/>
  <c r="EP10" i="47"/>
  <c r="EP27" i="47"/>
  <c r="EP12" i="47"/>
  <c r="EP14" i="47"/>
  <c r="EP15" i="47"/>
  <c r="EP20" i="47"/>
  <c r="EO24" i="47"/>
  <c r="EO5" i="47"/>
  <c r="EO29" i="47"/>
  <c r="EO26" i="47"/>
  <c r="EO7" i="47"/>
  <c r="EO22" i="47"/>
  <c r="EO27" i="47"/>
  <c r="EO8" i="47"/>
  <c r="EO9" i="47"/>
  <c r="EO13" i="47"/>
  <c r="EO18" i="47"/>
  <c r="EO19" i="47"/>
  <c r="EO23" i="47"/>
  <c r="EO3" i="47"/>
  <c r="EO17" i="47"/>
  <c r="EO14" i="47"/>
  <c r="EN29" i="47"/>
  <c r="EN8" i="47"/>
  <c r="EN5" i="47"/>
  <c r="EN7" i="47"/>
  <c r="EV6" i="47"/>
  <c r="CH40" i="14"/>
  <c r="BB7" i="47"/>
  <c r="DB7" i="47"/>
  <c r="BB8" i="47"/>
  <c r="CY8" i="47"/>
  <c r="BG8" i="47"/>
  <c r="AU8" i="47"/>
  <c r="AT8" i="47"/>
  <c r="AS8" i="47"/>
  <c r="AL8" i="47"/>
  <c r="AJ8" i="47"/>
  <c r="AI8" i="47"/>
  <c r="Z8" i="47"/>
  <c r="AE8" i="47"/>
  <c r="AD8" i="47"/>
  <c r="AC8" i="47"/>
  <c r="AB8" i="47"/>
  <c r="DN8" i="47"/>
  <c r="DO8" i="47"/>
  <c r="DP8" i="47"/>
  <c r="DM8" i="47"/>
  <c r="CM25" i="14"/>
  <c r="CJ25" i="14" s="1"/>
  <c r="CM16" i="14"/>
  <c r="AF8" i="47"/>
  <c r="CS7" i="47"/>
  <c r="DA7" i="47"/>
  <c r="DK8" i="47"/>
  <c r="DJ8" i="47"/>
  <c r="DI8" i="47"/>
  <c r="DQ9" i="47"/>
  <c r="DL8" i="47"/>
  <c r="AZ8" i="47"/>
  <c r="CT8" i="47"/>
  <c r="DA8" i="47"/>
  <c r="BD8" i="47"/>
  <c r="V110" i="47"/>
  <c r="V111" i="47" s="1"/>
  <c r="AZ7" i="47"/>
  <c r="AP8" i="47"/>
  <c r="AR8" i="47"/>
  <c r="AQ8" i="47"/>
  <c r="AH8" i="47"/>
  <c r="AK8" i="47"/>
  <c r="X8" i="47"/>
  <c r="Y8" i="47"/>
  <c r="AA8" i="47"/>
  <c r="AM8" i="47"/>
  <c r="CM3" i="14"/>
  <c r="CB45" i="14"/>
  <c r="CU49" i="14"/>
  <c r="DE254" i="14" l="1"/>
  <c r="DB256" i="14" s="1"/>
  <c r="O60" i="14"/>
  <c r="EG61" i="47" s="1"/>
  <c r="AM7" i="47"/>
  <c r="AN7" i="47"/>
  <c r="CJ3" i="14"/>
  <c r="CD27" i="14" s="1"/>
  <c r="DE264" i="14" l="1"/>
  <c r="DB266" i="14" s="1"/>
  <c r="BX32" i="14"/>
  <c r="CD26" i="14"/>
  <c r="BX26" i="14" s="1"/>
  <c r="CD23" i="14"/>
  <c r="BX23" i="14" s="1"/>
  <c r="CD16" i="14"/>
  <c r="BX16" i="14" s="1"/>
  <c r="CD3" i="14"/>
  <c r="O61" i="14" l="1"/>
  <c r="EG62" i="47" s="1"/>
  <c r="CP44" i="14"/>
  <c r="O62" i="14"/>
  <c r="EG63" i="47" s="1"/>
  <c r="BU16" i="14"/>
  <c r="BU17" i="14" s="1"/>
  <c r="BX11" i="14"/>
  <c r="BX8" i="14"/>
  <c r="BX3" i="14"/>
  <c r="BU3" i="14" s="1"/>
  <c r="BU4" i="14" s="1"/>
  <c r="CQ44" i="14" l="1"/>
  <c r="CM40" i="14" s="1"/>
  <c r="CJ40" i="14" s="1"/>
  <c r="CD40" i="14" s="1"/>
  <c r="BS2" i="28"/>
  <c r="DU72" i="28" s="1"/>
  <c r="BQ2" i="28"/>
  <c r="BK2" i="28"/>
  <c r="I19" i="43"/>
  <c r="I20" i="43" s="1"/>
  <c r="BG2" i="28"/>
  <c r="DU60" i="28" s="1"/>
  <c r="E19" i="43"/>
  <c r="E20" i="43" s="1"/>
  <c r="BU8" i="14"/>
  <c r="BU9" i="14" s="1"/>
  <c r="BX49" i="14" l="1"/>
  <c r="BX45" i="14"/>
  <c r="BX40" i="14"/>
  <c r="BR2" i="28"/>
  <c r="DU71" i="28" s="1"/>
  <c r="O15" i="14"/>
  <c r="EG14" i="47" s="1"/>
  <c r="BI2" i="28"/>
  <c r="G19" i="43"/>
  <c r="G20" i="43" s="1"/>
  <c r="BU26" i="14" l="1"/>
  <c r="BU27" i="14" s="1"/>
  <c r="BT2" i="28" s="1"/>
  <c r="DU73" i="28" s="1"/>
  <c r="M4" i="28"/>
  <c r="V22" i="47"/>
  <c r="W22" i="47" s="1"/>
  <c r="V25" i="47"/>
  <c r="W25" i="47" s="1"/>
  <c r="V23" i="47"/>
  <c r="W23" i="47" s="1"/>
  <c r="V24" i="47"/>
  <c r="W24" i="47" s="1"/>
  <c r="BR4" i="14" l="1"/>
  <c r="BU2" i="28" s="1"/>
  <c r="DU74" i="28" s="1"/>
  <c r="BM2" i="28"/>
  <c r="C19" i="43"/>
  <c r="C20" i="43" s="1"/>
  <c r="J17" i="43" s="1"/>
  <c r="BR3" i="14"/>
  <c r="J16" i="43" s="1"/>
  <c r="DB6" i="47" a="1"/>
  <c r="DB6" i="47" s="1"/>
  <c r="DB9" i="47" s="1"/>
  <c r="CY6" i="47" a="1"/>
  <c r="CY6" i="47" s="1"/>
  <c r="CY9" i="47" s="1"/>
  <c r="BB6" i="47" a="1"/>
  <c r="BB6" i="47" s="1"/>
  <c r="BB9" i="47" s="1"/>
  <c r="BG6" i="47" a="1"/>
  <c r="BG6" i="47" s="1"/>
  <c r="BG9" i="47" s="1"/>
  <c r="AU6" i="47" a="1"/>
  <c r="AU6" i="47" s="1"/>
  <c r="AU9" i="47" s="1"/>
  <c r="AT6" i="47" a="1"/>
  <c r="AT6" i="47" s="1"/>
  <c r="AT9" i="47" s="1"/>
  <c r="AS6" i="47" a="1"/>
  <c r="AS6" i="47" s="1"/>
  <c r="AS9" i="47" s="1"/>
  <c r="AN6" i="47" a="1"/>
  <c r="AN6" i="47" s="1"/>
  <c r="AN9" i="47" s="1"/>
  <c r="AI6" i="47" a="1"/>
  <c r="AI6" i="47" s="1"/>
  <c r="AI9" i="47" s="1"/>
  <c r="AL6" i="47" a="1"/>
  <c r="AL6" i="47" s="1"/>
  <c r="AL9" i="47" s="1"/>
  <c r="AJ6" i="47" a="1"/>
  <c r="AJ6" i="47" s="1"/>
  <c r="AJ9" i="47" s="1"/>
  <c r="AC6" i="47" a="1"/>
  <c r="AC6" i="47" s="1"/>
  <c r="AC9" i="47" s="1"/>
  <c r="AD6" i="47" a="1"/>
  <c r="AD6" i="47" s="1"/>
  <c r="AD9" i="47" s="1"/>
  <c r="AE6" i="47" a="1"/>
  <c r="AE6" i="47" s="1"/>
  <c r="AE9" i="47" s="1"/>
  <c r="AB6" i="47" a="1"/>
  <c r="AB6" i="47" s="1"/>
  <c r="AB9" i="47" s="1"/>
  <c r="DM6" i="47" a="1"/>
  <c r="DM6" i="47" s="1"/>
  <c r="DM9" i="47" s="1"/>
  <c r="DP6" i="47" a="1"/>
  <c r="DP6" i="47" s="1"/>
  <c r="DP9" i="47" s="1"/>
  <c r="DN6" i="47" a="1"/>
  <c r="DN6" i="47" s="1"/>
  <c r="DN9" i="47" s="1"/>
  <c r="DO6" i="47" a="1"/>
  <c r="DO6" i="47" s="1"/>
  <c r="DO9" i="47" s="1"/>
  <c r="AG6" i="47" a="1"/>
  <c r="AG6" i="47" s="1"/>
  <c r="AG9" i="47" s="1"/>
  <c r="AF6" i="47" a="1"/>
  <c r="AF6" i="47" s="1"/>
  <c r="AF9" i="47" s="1"/>
  <c r="BF6" i="47" a="1"/>
  <c r="BF6" i="47" s="1"/>
  <c r="BF9" i="47" s="1"/>
  <c r="BE6" i="47" a="1"/>
  <c r="BE6" i="47" s="1"/>
  <c r="BE9" i="47" s="1"/>
  <c r="DX6" i="47" a="1"/>
  <c r="DX6" i="47" s="1"/>
  <c r="DX9" i="47" s="1"/>
  <c r="DS6" i="47" a="1"/>
  <c r="DS6" i="47" s="1"/>
  <c r="DS9" i="47" s="1"/>
  <c r="DV6" i="47" a="1"/>
  <c r="DV6" i="47" s="1"/>
  <c r="DV9" i="47" s="1"/>
  <c r="DT6" i="47" a="1"/>
  <c r="DT6" i="47" s="1"/>
  <c r="DT9" i="47" s="1"/>
  <c r="DJ6" i="47" a="1"/>
  <c r="DJ6" i="47" s="1"/>
  <c r="DJ9" i="47" s="1"/>
  <c r="DU6" i="47" a="1"/>
  <c r="DU6" i="47" s="1"/>
  <c r="DU9" i="47" s="1"/>
  <c r="DK6" i="47" a="1"/>
  <c r="DK6" i="47" s="1"/>
  <c r="DK9" i="47" s="1"/>
  <c r="DL6" i="47" a="1"/>
  <c r="DL6" i="47" s="1"/>
  <c r="DL9" i="47" s="1"/>
  <c r="DW6" i="47" a="1"/>
  <c r="DW6" i="47" s="1"/>
  <c r="DW9" i="47" s="1"/>
  <c r="DG6" i="47" a="1"/>
  <c r="DG6" i="47" s="1"/>
  <c r="DG9" i="47" s="1"/>
  <c r="DF6" i="47" a="1"/>
  <c r="DF6" i="47" s="1"/>
  <c r="DF9" i="47" s="1"/>
  <c r="DE6" i="47" a="1"/>
  <c r="DE6" i="47" s="1"/>
  <c r="DE9" i="47" s="1"/>
  <c r="DD6" i="47" a="1"/>
  <c r="DD6" i="47" s="1"/>
  <c r="DD9" i="47" s="1"/>
  <c r="CU6" i="47" a="1"/>
  <c r="CU6" i="47" s="1"/>
  <c r="CU9" i="47" s="1"/>
  <c r="CW6" i="47" a="1"/>
  <c r="CW6" i="47" s="1"/>
  <c r="CW9" i="47" s="1"/>
  <c r="CX6" i="47" a="1"/>
  <c r="CX6" i="47" s="1"/>
  <c r="CX9" i="47" s="1"/>
  <c r="CT6" i="47" a="1"/>
  <c r="CT6" i="47" s="1"/>
  <c r="CT9" i="47" s="1"/>
  <c r="CV6" i="47" a="1"/>
  <c r="CV6" i="47" s="1"/>
  <c r="CV9" i="47" s="1"/>
  <c r="CP6" i="47" a="1"/>
  <c r="CP6" i="47" s="1"/>
  <c r="CP9" i="47" s="1"/>
  <c r="CR6" i="47" a="1"/>
  <c r="CR6" i="47" s="1"/>
  <c r="CR9" i="47" s="1"/>
  <c r="CQ6" i="47" a="1"/>
  <c r="CQ6" i="47" s="1"/>
  <c r="CQ9" i="47" s="1"/>
  <c r="CL6" i="47" a="1"/>
  <c r="CL6" i="47" s="1"/>
  <c r="CL9" i="47" s="1"/>
  <c r="CM6" i="47" a="1"/>
  <c r="CM6" i="47" s="1"/>
  <c r="CM9" i="47" s="1"/>
  <c r="CN6" i="47" a="1"/>
  <c r="CN6" i="47" s="1"/>
  <c r="CN9" i="47" s="1"/>
  <c r="CG6" i="47" a="1"/>
  <c r="CG6" i="47" s="1"/>
  <c r="CG9" i="47" s="1"/>
  <c r="CJ6" i="47" a="1"/>
  <c r="CJ6" i="47" s="1"/>
  <c r="CJ9" i="47" s="1"/>
  <c r="CI6" i="47" a="1"/>
  <c r="CI6" i="47" s="1"/>
  <c r="CI9" i="47" s="1"/>
  <c r="CE6" i="47" a="1"/>
  <c r="CE6" i="47" s="1"/>
  <c r="CE9" i="47" s="1"/>
  <c r="CH6" i="47" a="1"/>
  <c r="CH6" i="47" s="1"/>
  <c r="CH9" i="47" s="1"/>
  <c r="CF6" i="47" a="1"/>
  <c r="CF6" i="47" s="1"/>
  <c r="CF9" i="47" s="1"/>
  <c r="BZ6" i="47" a="1"/>
  <c r="BZ6" i="47" s="1"/>
  <c r="BZ9" i="47" s="1"/>
  <c r="CA6" i="47" a="1"/>
  <c r="CA6" i="47" s="1"/>
  <c r="CA9" i="47" s="1"/>
  <c r="BY6" i="47" a="1"/>
  <c r="BY6" i="47" s="1"/>
  <c r="BY9" i="47" s="1"/>
  <c r="CB6" i="47" a="1"/>
  <c r="CB6" i="47" s="1"/>
  <c r="CB9" i="47" s="1"/>
  <c r="BX6" i="47" a="1"/>
  <c r="BX6" i="47" s="1"/>
  <c r="BX9" i="47" s="1"/>
  <c r="BV6" i="47" a="1"/>
  <c r="BV6" i="47" s="1"/>
  <c r="BV9" i="47" s="1"/>
  <c r="BU6" i="47" a="1"/>
  <c r="BU6" i="47" s="1"/>
  <c r="BU9" i="47" s="1"/>
  <c r="BS6" i="47" a="1"/>
  <c r="BS6" i="47" s="1"/>
  <c r="BS9" i="47" s="1"/>
  <c r="BR6" i="47" a="1"/>
  <c r="BR6" i="47" s="1"/>
  <c r="BR9" i="47" s="1"/>
  <c r="BO6" i="47" a="1"/>
  <c r="BO6" i="47" s="1"/>
  <c r="BO9" i="47" s="1"/>
  <c r="BN6" i="47" a="1"/>
  <c r="BN6" i="47" s="1"/>
  <c r="BN9" i="47" s="1"/>
  <c r="BD6" i="47" a="1"/>
  <c r="BD6" i="47" s="1"/>
  <c r="BD9" i="47" s="1"/>
  <c r="BM6" i="47" a="1"/>
  <c r="BM6" i="47" s="1"/>
  <c r="BM9" i="47" s="1"/>
  <c r="BJ6" i="47" a="1"/>
  <c r="BJ6" i="47" s="1"/>
  <c r="BJ9" i="47" s="1"/>
  <c r="BK6" i="47" a="1"/>
  <c r="BK6" i="47" s="1"/>
  <c r="BK9" i="47" s="1"/>
  <c r="BI6" i="47" a="1"/>
  <c r="BI6" i="47" s="1"/>
  <c r="BI9" i="47" s="1"/>
  <c r="BL6" i="47" a="1"/>
  <c r="BL6" i="47" s="1"/>
  <c r="BL9" i="47" s="1"/>
  <c r="AY6" i="47" a="1"/>
  <c r="AY6" i="47" s="1"/>
  <c r="AY9" i="47" s="1"/>
  <c r="AX6" i="47" a="1"/>
  <c r="AX6" i="47" s="1"/>
  <c r="AX9" i="47" s="1"/>
  <c r="AW6" i="47" a="1"/>
  <c r="AW6" i="47" s="1"/>
  <c r="AW9" i="47" s="1"/>
  <c r="AR6" i="47" a="1"/>
  <c r="AR6" i="47" s="1"/>
  <c r="AR9" i="47" s="1"/>
  <c r="AZ6" i="47" a="1"/>
  <c r="AZ6" i="47" s="1"/>
  <c r="AZ9" i="47" s="1"/>
  <c r="BA6" i="47" a="1"/>
  <c r="BA6" i="47" s="1"/>
  <c r="BA9" i="47" s="1"/>
  <c r="AQ6" i="47" a="1"/>
  <c r="AQ6" i="47" s="1"/>
  <c r="AQ9" i="47" s="1"/>
  <c r="AK6" i="47" a="1"/>
  <c r="AK6" i="47" s="1"/>
  <c r="AK9" i="47" s="1"/>
  <c r="AH6" i="47" a="1"/>
  <c r="AH6" i="47" s="1"/>
  <c r="AH9" i="47" s="1"/>
  <c r="CS6" i="47" a="1"/>
  <c r="CS6" i="47" s="1"/>
  <c r="CS9" i="47" s="1"/>
  <c r="BC6" i="47" a="1"/>
  <c r="BC6" i="47" s="1"/>
  <c r="BC9" i="47" s="1"/>
  <c r="DI6" i="47" a="1"/>
  <c r="DI6" i="47" s="1"/>
  <c r="DI9" i="47" s="1"/>
  <c r="BW6" i="47" a="1"/>
  <c r="BW6" i="47" s="1"/>
  <c r="BW9" i="47" s="1"/>
  <c r="AV6" i="47" a="1"/>
  <c r="AV6" i="47" s="1"/>
  <c r="AV9" i="47" s="1"/>
  <c r="DH6" i="47" a="1"/>
  <c r="DH6" i="47" s="1"/>
  <c r="DH9" i="47" s="1"/>
  <c r="BQ6" i="47" a="1"/>
  <c r="BQ6" i="47" s="1"/>
  <c r="BQ9" i="47" s="1"/>
  <c r="AA6" i="47" a="1"/>
  <c r="AA6" i="47" s="1"/>
  <c r="AA9" i="47" s="1"/>
  <c r="CK6" i="47" a="1"/>
  <c r="CK6" i="47" s="1"/>
  <c r="CK9" i="47" s="1"/>
  <c r="CO6" i="47" a="1"/>
  <c r="CO6" i="47" s="1"/>
  <c r="CO9" i="47" s="1"/>
  <c r="Z6" i="47" a="1"/>
  <c r="Z6" i="47" s="1"/>
  <c r="Z9" i="47" s="1"/>
  <c r="BP6" i="47" a="1"/>
  <c r="BP6" i="47" s="1"/>
  <c r="BP9" i="47" s="1"/>
  <c r="Y6" i="47" a="1"/>
  <c r="Y6" i="47" s="1"/>
  <c r="Y9" i="47" s="1"/>
  <c r="CD6" i="47" a="1"/>
  <c r="CD6" i="47" s="1"/>
  <c r="CD9" i="47" s="1"/>
  <c r="AO6" i="47" a="1"/>
  <c r="AO6" i="47" s="1"/>
  <c r="AO9" i="47" s="1"/>
  <c r="DA6" i="47" a="1"/>
  <c r="DA6" i="47" s="1"/>
  <c r="DA9" i="47" s="1"/>
  <c r="AP6" i="47" a="1"/>
  <c r="AP6" i="47" s="1"/>
  <c r="AP9" i="47" s="1"/>
  <c r="DC6" i="47" a="1"/>
  <c r="DC6" i="47" s="1"/>
  <c r="DC9" i="47" s="1"/>
  <c r="CC6" i="47" a="1"/>
  <c r="CC6" i="47" s="1"/>
  <c r="CC9" i="47" s="1"/>
  <c r="AM6" i="47" a="1"/>
  <c r="AM6" i="47" s="1"/>
  <c r="AM9" i="47" s="1"/>
  <c r="CZ6" i="47" a="1"/>
  <c r="CZ6" i="47" s="1"/>
  <c r="CZ9" i="47" s="1"/>
  <c r="BH6" i="47" a="1"/>
  <c r="BH6" i="47" s="1"/>
  <c r="BH9" i="47" s="1"/>
  <c r="BT6" i="47" a="1"/>
  <c r="BT6" i="47" s="1"/>
  <c r="BT9" i="47" s="1"/>
  <c r="DQ6" i="47" a="1"/>
  <c r="DQ6" i="47" s="1"/>
  <c r="DR6" i="47" a="1"/>
  <c r="DR6" i="47" s="1"/>
  <c r="DR9" i="47" s="1"/>
  <c r="X6" i="47" a="1"/>
  <c r="X6" i="47" s="1"/>
  <c r="X9" i="47" s="1"/>
  <c r="BO2" i="28" l="1"/>
  <c r="DU79" i="28" s="1"/>
  <c r="EE4" i="47" a="1"/>
  <c r="EE4" i="47" s="1"/>
  <c r="EK4" i="47" s="1"/>
  <c r="EE5" i="47" a="1"/>
  <c r="EE5" i="47" s="1"/>
  <c r="EK5" i="47" s="1"/>
  <c r="EE6" i="47" a="1"/>
  <c r="EE6" i="47" s="1"/>
  <c r="EK6" i="47" s="1"/>
  <c r="EE29" i="47" a="1"/>
  <c r="EE29" i="47" s="1"/>
  <c r="EK29" i="47" s="1"/>
  <c r="EE28" i="47" a="1"/>
  <c r="EE28" i="47" s="1"/>
  <c r="EK28" i="47" s="1"/>
  <c r="EE3" i="47" a="1"/>
  <c r="EE3" i="47" s="1"/>
  <c r="EK3" i="47" s="1"/>
  <c r="EE7" i="47" a="1"/>
  <c r="EE7" i="47" s="1"/>
  <c r="EK7" i="47" s="1"/>
  <c r="EE11" i="47" a="1"/>
  <c r="EE11" i="47" s="1"/>
  <c r="EK11" i="47" s="1"/>
  <c r="EE15" i="47" a="1"/>
  <c r="EE15" i="47" s="1"/>
  <c r="EK15" i="47" s="1"/>
  <c r="EE19" i="47" a="1"/>
  <c r="EE19" i="47" s="1"/>
  <c r="EK19" i="47" s="1"/>
  <c r="EE23" i="47" a="1"/>
  <c r="EE23" i="47" s="1"/>
  <c r="EK23" i="47" s="1"/>
  <c r="EE27" i="47" a="1"/>
  <c r="EE27" i="47" s="1"/>
  <c r="EK27" i="47" s="1"/>
  <c r="EE14" i="47" a="1"/>
  <c r="EE14" i="47" s="1"/>
  <c r="EK14" i="47" s="1"/>
  <c r="EE22" i="47" a="1"/>
  <c r="EE22" i="47" s="1"/>
  <c r="EK22" i="47" s="1"/>
  <c r="EE8" i="47" a="1"/>
  <c r="EE8" i="47" s="1"/>
  <c r="EK8" i="47" s="1"/>
  <c r="EE12" i="47" a="1"/>
  <c r="EE12" i="47" s="1"/>
  <c r="EK12" i="47" s="1"/>
  <c r="EE16" i="47" a="1"/>
  <c r="EE16" i="47" s="1"/>
  <c r="EK16" i="47" s="1"/>
  <c r="EE20" i="47" a="1"/>
  <c r="EE20" i="47" s="1"/>
  <c r="EK20" i="47" s="1"/>
  <c r="EE24" i="47" a="1"/>
  <c r="EE24" i="47" s="1"/>
  <c r="EK24" i="47" s="1"/>
  <c r="EE2" i="47" a="1"/>
  <c r="EE2" i="47" s="1"/>
  <c r="EK2" i="47" s="1"/>
  <c r="EE18" i="47" a="1"/>
  <c r="EE18" i="47" s="1"/>
  <c r="EK18" i="47" s="1"/>
  <c r="EE26" i="47" a="1"/>
  <c r="EE26" i="47" s="1"/>
  <c r="EK26" i="47" s="1"/>
  <c r="EE9" i="47" a="1"/>
  <c r="EE9" i="47" s="1"/>
  <c r="EK9" i="47" s="1"/>
  <c r="EE13" i="47" a="1"/>
  <c r="EE13" i="47" s="1"/>
  <c r="EK13" i="47" s="1"/>
  <c r="EE17" i="47" a="1"/>
  <c r="EE17" i="47" s="1"/>
  <c r="EK17" i="47" s="1"/>
  <c r="EE21" i="47" a="1"/>
  <c r="EE21" i="47" s="1"/>
  <c r="EK21" i="47" s="1"/>
  <c r="EE25" i="47" a="1"/>
  <c r="EE25" i="47" s="1"/>
  <c r="EK25" i="47" s="1"/>
  <c r="EE10" i="47" a="1"/>
  <c r="EE10" i="47" s="1"/>
  <c r="EK10" i="47" s="1"/>
  <c r="EY15" i="47" l="1"/>
  <c r="FI15" i="47"/>
  <c r="FS15" i="47"/>
  <c r="GC15" i="47"/>
  <c r="GM15" i="47"/>
  <c r="EZ15" i="47"/>
  <c r="FJ15" i="47"/>
  <c r="FT15" i="47"/>
  <c r="GD15" i="47"/>
  <c r="GN15" i="47"/>
  <c r="FA15" i="47"/>
  <c r="FM15" i="47"/>
  <c r="FY15" i="47"/>
  <c r="GK15" i="47"/>
  <c r="FB15" i="47"/>
  <c r="FN15" i="47"/>
  <c r="FZ15" i="47"/>
  <c r="GL15" i="47"/>
  <c r="FC15" i="47"/>
  <c r="FD15" i="47"/>
  <c r="FP15" i="47"/>
  <c r="GB15" i="47"/>
  <c r="FE15" i="47"/>
  <c r="FQ15" i="47"/>
  <c r="GE15" i="47"/>
  <c r="FU15" i="47"/>
  <c r="GO15" i="47"/>
  <c r="FV15" i="47"/>
  <c r="EX15" i="47"/>
  <c r="FW15" i="47"/>
  <c r="FF15" i="47"/>
  <c r="FX15" i="47"/>
  <c r="FG15" i="47"/>
  <c r="GA15" i="47"/>
  <c r="FH15" i="47"/>
  <c r="GF15" i="47"/>
  <c r="FK15" i="47"/>
  <c r="GG15" i="47"/>
  <c r="FL15" i="47"/>
  <c r="GH15" i="47"/>
  <c r="FO15" i="47"/>
  <c r="GI15" i="47"/>
  <c r="FR15" i="47"/>
  <c r="GJ15" i="47"/>
  <c r="EZ7" i="47"/>
  <c r="FJ7" i="47"/>
  <c r="FT7" i="47"/>
  <c r="GD7" i="47"/>
  <c r="GN7" i="47"/>
  <c r="FA7" i="47"/>
  <c r="FK7" i="47"/>
  <c r="FU7" i="47"/>
  <c r="GE7" i="47"/>
  <c r="GO7" i="47"/>
  <c r="FB7" i="47"/>
  <c r="FN7" i="47"/>
  <c r="FZ7" i="47"/>
  <c r="GL7" i="47"/>
  <c r="FC7" i="47"/>
  <c r="FO7" i="47"/>
  <c r="GA7" i="47"/>
  <c r="GM7" i="47"/>
  <c r="FD7" i="47"/>
  <c r="FP7" i="47"/>
  <c r="GB7" i="47"/>
  <c r="FE7" i="47"/>
  <c r="FQ7" i="47"/>
  <c r="GC7" i="47"/>
  <c r="FF7" i="47"/>
  <c r="FR7" i="47"/>
  <c r="GF7" i="47"/>
  <c r="FG7" i="47"/>
  <c r="FS7" i="47"/>
  <c r="GG7" i="47"/>
  <c r="FV7" i="47"/>
  <c r="FW7" i="47"/>
  <c r="FX7" i="47"/>
  <c r="FY7" i="47"/>
  <c r="EX7" i="47"/>
  <c r="GH7" i="47"/>
  <c r="EY7" i="47"/>
  <c r="GI7" i="47"/>
  <c r="FH7" i="47"/>
  <c r="GJ7" i="47"/>
  <c r="FI7" i="47"/>
  <c r="GK7" i="47"/>
  <c r="FL7" i="47"/>
  <c r="FM7" i="47"/>
  <c r="FF8" i="47"/>
  <c r="FP8" i="47"/>
  <c r="FZ8" i="47"/>
  <c r="GJ8" i="47"/>
  <c r="FG8" i="47"/>
  <c r="FQ8" i="47"/>
  <c r="GA8" i="47"/>
  <c r="GK8" i="47"/>
  <c r="FH8" i="47"/>
  <c r="FT8" i="47"/>
  <c r="GF8" i="47"/>
  <c r="FI8" i="47"/>
  <c r="FU8" i="47"/>
  <c r="GG8" i="47"/>
  <c r="EX8" i="47"/>
  <c r="FJ8" i="47"/>
  <c r="FV8" i="47"/>
  <c r="GH8" i="47"/>
  <c r="EY8" i="47"/>
  <c r="FK8" i="47"/>
  <c r="FW8" i="47"/>
  <c r="GI8" i="47"/>
  <c r="EZ8" i="47"/>
  <c r="FL8" i="47"/>
  <c r="FX8" i="47"/>
  <c r="GL8" i="47"/>
  <c r="FA8" i="47"/>
  <c r="FM8" i="47"/>
  <c r="FY8" i="47"/>
  <c r="GM8" i="47"/>
  <c r="FD8" i="47"/>
  <c r="GN8" i="47"/>
  <c r="FE8" i="47"/>
  <c r="GO8" i="47"/>
  <c r="FN8" i="47"/>
  <c r="FO8" i="47"/>
  <c r="FR8" i="47"/>
  <c r="FS8" i="47"/>
  <c r="GB8" i="47"/>
  <c r="GC8" i="47"/>
  <c r="FB8" i="47"/>
  <c r="GD8" i="47"/>
  <c r="FC8" i="47"/>
  <c r="GE8" i="47"/>
  <c r="FF3" i="47"/>
  <c r="FP3" i="47"/>
  <c r="FZ3" i="47"/>
  <c r="GJ3" i="47"/>
  <c r="FG3" i="47"/>
  <c r="FQ3" i="47"/>
  <c r="GA3" i="47"/>
  <c r="GK3" i="47"/>
  <c r="EX3" i="47"/>
  <c r="EY3" i="47"/>
  <c r="EZ3" i="47"/>
  <c r="FD3" i="47"/>
  <c r="FA3" i="47"/>
  <c r="FN3" i="47"/>
  <c r="GB3" i="47"/>
  <c r="GN3" i="47"/>
  <c r="FB3" i="47"/>
  <c r="FO3" i="47"/>
  <c r="GC3" i="47"/>
  <c r="GO3" i="47"/>
  <c r="FC3" i="47"/>
  <c r="FR3" i="47"/>
  <c r="GD3" i="47"/>
  <c r="FE3" i="47"/>
  <c r="FS3" i="47"/>
  <c r="GE3" i="47"/>
  <c r="FH3" i="47"/>
  <c r="FT3" i="47"/>
  <c r="GF3" i="47"/>
  <c r="FI3" i="47"/>
  <c r="FU3" i="47"/>
  <c r="GG3" i="47"/>
  <c r="FJ3" i="47"/>
  <c r="GL3" i="47"/>
  <c r="FK3" i="47"/>
  <c r="GM3" i="47"/>
  <c r="FL3" i="47"/>
  <c r="FM3" i="47"/>
  <c r="FV3" i="47"/>
  <c r="FW3" i="47"/>
  <c r="FX3" i="47"/>
  <c r="FY3" i="47"/>
  <c r="GI3" i="47"/>
  <c r="GH3" i="47"/>
  <c r="FC19" i="47"/>
  <c r="FM19" i="47"/>
  <c r="FW19" i="47"/>
  <c r="GG19" i="47"/>
  <c r="FD19" i="47"/>
  <c r="FN19" i="47"/>
  <c r="FX19" i="47"/>
  <c r="GH19" i="47"/>
  <c r="EY19" i="47"/>
  <c r="FK19" i="47"/>
  <c r="FY19" i="47"/>
  <c r="GK19" i="47"/>
  <c r="EZ19" i="47"/>
  <c r="FL19" i="47"/>
  <c r="FZ19" i="47"/>
  <c r="GL19" i="47"/>
  <c r="FO19" i="47"/>
  <c r="GC19" i="47"/>
  <c r="EX19" i="47"/>
  <c r="FP19" i="47"/>
  <c r="GD19" i="47"/>
  <c r="FA19" i="47"/>
  <c r="FQ19" i="47"/>
  <c r="GE19" i="47"/>
  <c r="FB19" i="47"/>
  <c r="FR19" i="47"/>
  <c r="GF19" i="47"/>
  <c r="FE19" i="47"/>
  <c r="FS19" i="47"/>
  <c r="GI19" i="47"/>
  <c r="FF19" i="47"/>
  <c r="FT19" i="47"/>
  <c r="GJ19" i="47"/>
  <c r="FG19" i="47"/>
  <c r="FU19" i="47"/>
  <c r="GM19" i="47"/>
  <c r="FH19" i="47"/>
  <c r="FV19" i="47"/>
  <c r="GN19" i="47"/>
  <c r="FI19" i="47"/>
  <c r="GA19" i="47"/>
  <c r="GO19" i="47"/>
  <c r="FJ19" i="47"/>
  <c r="GB19" i="47"/>
  <c r="FE16" i="47"/>
  <c r="FO16" i="47"/>
  <c r="FY16" i="47"/>
  <c r="GI16" i="47"/>
  <c r="FF16" i="47"/>
  <c r="FP16" i="47"/>
  <c r="FZ16" i="47"/>
  <c r="GJ16" i="47"/>
  <c r="FG16" i="47"/>
  <c r="FS16" i="47"/>
  <c r="GE16" i="47"/>
  <c r="FH16" i="47"/>
  <c r="FT16" i="47"/>
  <c r="GF16" i="47"/>
  <c r="EX16" i="47"/>
  <c r="FJ16" i="47"/>
  <c r="FV16" i="47"/>
  <c r="EY16" i="47"/>
  <c r="FK16" i="47"/>
  <c r="FW16" i="47"/>
  <c r="FQ16" i="47"/>
  <c r="GK16" i="47"/>
  <c r="EZ16" i="47"/>
  <c r="FR16" i="47"/>
  <c r="GL16" i="47"/>
  <c r="FA16" i="47"/>
  <c r="FU16" i="47"/>
  <c r="GM16" i="47"/>
  <c r="FB16" i="47"/>
  <c r="FX16" i="47"/>
  <c r="GN16" i="47"/>
  <c r="FC16" i="47"/>
  <c r="GA16" i="47"/>
  <c r="GO16" i="47"/>
  <c r="FD16" i="47"/>
  <c r="GB16" i="47"/>
  <c r="FI16" i="47"/>
  <c r="GC16" i="47"/>
  <c r="FL16" i="47"/>
  <c r="GD16" i="47"/>
  <c r="FM16" i="47"/>
  <c r="GG16" i="47"/>
  <c r="GH16" i="47"/>
  <c r="FN16" i="47"/>
  <c r="FA17" i="47"/>
  <c r="FK17" i="47"/>
  <c r="FU17" i="47"/>
  <c r="GE17" i="47"/>
  <c r="GO17" i="47"/>
  <c r="FB17" i="47"/>
  <c r="FL17" i="47"/>
  <c r="FV17" i="47"/>
  <c r="GF17" i="47"/>
  <c r="EY17" i="47"/>
  <c r="FM17" i="47"/>
  <c r="FY17" i="47"/>
  <c r="GK17" i="47"/>
  <c r="EZ17" i="47"/>
  <c r="FN17" i="47"/>
  <c r="FZ17" i="47"/>
  <c r="GL17" i="47"/>
  <c r="FG17" i="47"/>
  <c r="FW17" i="47"/>
  <c r="GM17" i="47"/>
  <c r="FH17" i="47"/>
  <c r="FX17" i="47"/>
  <c r="GN17" i="47"/>
  <c r="FI17" i="47"/>
  <c r="GA17" i="47"/>
  <c r="FJ17" i="47"/>
  <c r="GB17" i="47"/>
  <c r="FO17" i="47"/>
  <c r="GC17" i="47"/>
  <c r="EX17" i="47"/>
  <c r="FP17" i="47"/>
  <c r="GD17" i="47"/>
  <c r="FC17" i="47"/>
  <c r="FQ17" i="47"/>
  <c r="GG17" i="47"/>
  <c r="FD17" i="47"/>
  <c r="FR17" i="47"/>
  <c r="GH17" i="47"/>
  <c r="FE17" i="47"/>
  <c r="FS17" i="47"/>
  <c r="GI17" i="47"/>
  <c r="GJ17" i="47"/>
  <c r="FF17" i="47"/>
  <c r="FT17" i="47"/>
  <c r="FG13" i="47"/>
  <c r="FQ13" i="47"/>
  <c r="GA13" i="47"/>
  <c r="GK13" i="47"/>
  <c r="EX13" i="47"/>
  <c r="FH13" i="47"/>
  <c r="FR13" i="47"/>
  <c r="GB13" i="47"/>
  <c r="GL13" i="47"/>
  <c r="FA13" i="47"/>
  <c r="FM13" i="47"/>
  <c r="FY13" i="47"/>
  <c r="GM13" i="47"/>
  <c r="FB13" i="47"/>
  <c r="FN13" i="47"/>
  <c r="FZ13" i="47"/>
  <c r="GN13" i="47"/>
  <c r="FC13" i="47"/>
  <c r="FO13" i="47"/>
  <c r="GC13" i="47"/>
  <c r="GO13" i="47"/>
  <c r="FD13" i="47"/>
  <c r="FP13" i="47"/>
  <c r="GD13" i="47"/>
  <c r="FE13" i="47"/>
  <c r="FS13" i="47"/>
  <c r="GE13" i="47"/>
  <c r="FJ13" i="47"/>
  <c r="GH13" i="47"/>
  <c r="FK13" i="47"/>
  <c r="GI13" i="47"/>
  <c r="FL13" i="47"/>
  <c r="GJ13" i="47"/>
  <c r="FT13" i="47"/>
  <c r="FU13" i="47"/>
  <c r="FV13" i="47"/>
  <c r="EY13" i="47"/>
  <c r="FW13" i="47"/>
  <c r="EZ13" i="47"/>
  <c r="FX13" i="47"/>
  <c r="FF13" i="47"/>
  <c r="GF13" i="47"/>
  <c r="GG13" i="47"/>
  <c r="FI13" i="47"/>
  <c r="EX5" i="47"/>
  <c r="FH5" i="47"/>
  <c r="FR5" i="47"/>
  <c r="GB5" i="47"/>
  <c r="GL5" i="47"/>
  <c r="EY5" i="47"/>
  <c r="FI5" i="47"/>
  <c r="FS5" i="47"/>
  <c r="GC5" i="47"/>
  <c r="GM5" i="47"/>
  <c r="FB5" i="47"/>
  <c r="FN5" i="47"/>
  <c r="FZ5" i="47"/>
  <c r="GN5" i="47"/>
  <c r="FC5" i="47"/>
  <c r="FO5" i="47"/>
  <c r="GA5" i="47"/>
  <c r="GO5" i="47"/>
  <c r="FD5" i="47"/>
  <c r="FP5" i="47"/>
  <c r="GD5" i="47"/>
  <c r="FE5" i="47"/>
  <c r="FQ5" i="47"/>
  <c r="GE5" i="47"/>
  <c r="FF5" i="47"/>
  <c r="FT5" i="47"/>
  <c r="GF5" i="47"/>
  <c r="FG5" i="47"/>
  <c r="FU5" i="47"/>
  <c r="GG5" i="47"/>
  <c r="FL5" i="47"/>
  <c r="FM5" i="47"/>
  <c r="FV5" i="47"/>
  <c r="FW5" i="47"/>
  <c r="FX5" i="47"/>
  <c r="FY5" i="47"/>
  <c r="EZ5" i="47"/>
  <c r="GH5" i="47"/>
  <c r="FA5" i="47"/>
  <c r="GI5" i="47"/>
  <c r="GK5" i="47"/>
  <c r="FJ5" i="47"/>
  <c r="GJ5" i="47"/>
  <c r="FK5" i="47"/>
  <c r="EZ28" i="47"/>
  <c r="FJ28" i="47"/>
  <c r="FT28" i="47"/>
  <c r="GD28" i="47"/>
  <c r="GN28" i="47"/>
  <c r="FE28" i="47"/>
  <c r="FP28" i="47"/>
  <c r="GA28" i="47"/>
  <c r="GL28" i="47"/>
  <c r="FG28" i="47"/>
  <c r="FF28" i="47"/>
  <c r="FQ28" i="47"/>
  <c r="GB28" i="47"/>
  <c r="GM28" i="47"/>
  <c r="FK28" i="47"/>
  <c r="GG28" i="47"/>
  <c r="FL28" i="47"/>
  <c r="FR28" i="47"/>
  <c r="GC28" i="47"/>
  <c r="GO28" i="47"/>
  <c r="FV28" i="47"/>
  <c r="GH28" i="47"/>
  <c r="FH28" i="47"/>
  <c r="FS28" i="47"/>
  <c r="GE28" i="47"/>
  <c r="EX28" i="47"/>
  <c r="FI28" i="47"/>
  <c r="FU28" i="47"/>
  <c r="GF28" i="47"/>
  <c r="EY28" i="47"/>
  <c r="FA28" i="47"/>
  <c r="FW28" i="47"/>
  <c r="FB28" i="47"/>
  <c r="FM28" i="47"/>
  <c r="FX28" i="47"/>
  <c r="GI28" i="47"/>
  <c r="FN28" i="47"/>
  <c r="GJ28" i="47"/>
  <c r="FC28" i="47"/>
  <c r="FY28" i="47"/>
  <c r="FD28" i="47"/>
  <c r="FO28" i="47"/>
  <c r="FZ28" i="47"/>
  <c r="GK28" i="47"/>
  <c r="FD6" i="47"/>
  <c r="FN6" i="47"/>
  <c r="FX6" i="47"/>
  <c r="GH6" i="47"/>
  <c r="FE6" i="47"/>
  <c r="FO6" i="47"/>
  <c r="FY6" i="47"/>
  <c r="GI6" i="47"/>
  <c r="FH6" i="47"/>
  <c r="FT6" i="47"/>
  <c r="GF6" i="47"/>
  <c r="FI6" i="47"/>
  <c r="FU6" i="47"/>
  <c r="GG6" i="47"/>
  <c r="EX6" i="47"/>
  <c r="FJ6" i="47"/>
  <c r="FV6" i="47"/>
  <c r="GJ6" i="47"/>
  <c r="EY6" i="47"/>
  <c r="FK6" i="47"/>
  <c r="FW6" i="47"/>
  <c r="GK6" i="47"/>
  <c r="EZ6" i="47"/>
  <c r="FL6" i="47"/>
  <c r="FZ6" i="47"/>
  <c r="GL6" i="47"/>
  <c r="FA6" i="47"/>
  <c r="FM6" i="47"/>
  <c r="GA6" i="47"/>
  <c r="GM6" i="47"/>
  <c r="FB6" i="47"/>
  <c r="GD6" i="47"/>
  <c r="FC6" i="47"/>
  <c r="GE6" i="47"/>
  <c r="FF6" i="47"/>
  <c r="GN6" i="47"/>
  <c r="FG6" i="47"/>
  <c r="GO6" i="47"/>
  <c r="FP6" i="47"/>
  <c r="FQ6" i="47"/>
  <c r="FR6" i="47"/>
  <c r="FS6" i="47"/>
  <c r="GB6" i="47"/>
  <c r="GC6" i="47"/>
  <c r="FB25" i="47"/>
  <c r="FL25" i="47"/>
  <c r="FV25" i="47"/>
  <c r="GF25" i="47"/>
  <c r="FC25" i="47"/>
  <c r="FM25" i="47"/>
  <c r="FW25" i="47"/>
  <c r="GG25" i="47"/>
  <c r="EX25" i="47"/>
  <c r="FJ25" i="47"/>
  <c r="FX25" i="47"/>
  <c r="GJ25" i="47"/>
  <c r="EY25" i="47"/>
  <c r="FK25" i="47"/>
  <c r="FY25" i="47"/>
  <c r="GK25" i="47"/>
  <c r="FQ25" i="47"/>
  <c r="EZ25" i="47"/>
  <c r="FN25" i="47"/>
  <c r="FZ25" i="47"/>
  <c r="GL25" i="47"/>
  <c r="GC25" i="47"/>
  <c r="FA25" i="47"/>
  <c r="FO25" i="47"/>
  <c r="GA25" i="47"/>
  <c r="GM25" i="47"/>
  <c r="FD25" i="47"/>
  <c r="FP25" i="47"/>
  <c r="GB25" i="47"/>
  <c r="GN25" i="47"/>
  <c r="FE25" i="47"/>
  <c r="GO25" i="47"/>
  <c r="FF25" i="47"/>
  <c r="FR25" i="47"/>
  <c r="GD25" i="47"/>
  <c r="FG25" i="47"/>
  <c r="FS25" i="47"/>
  <c r="GE25" i="47"/>
  <c r="FH25" i="47"/>
  <c r="FT25" i="47"/>
  <c r="GH25" i="47"/>
  <c r="FI25" i="47"/>
  <c r="FU25" i="47"/>
  <c r="GI25" i="47"/>
  <c r="FB9" i="47"/>
  <c r="FL9" i="47"/>
  <c r="FV9" i="47"/>
  <c r="GF9" i="47"/>
  <c r="FC9" i="47"/>
  <c r="FM9" i="47"/>
  <c r="FW9" i="47"/>
  <c r="GG9" i="47"/>
  <c r="EZ9" i="47"/>
  <c r="FN9" i="47"/>
  <c r="FZ9" i="47"/>
  <c r="GL9" i="47"/>
  <c r="FA9" i="47"/>
  <c r="FO9" i="47"/>
  <c r="GA9" i="47"/>
  <c r="GM9" i="47"/>
  <c r="FD9" i="47"/>
  <c r="FP9" i="47"/>
  <c r="GB9" i="47"/>
  <c r="GN9" i="47"/>
  <c r="FE9" i="47"/>
  <c r="FQ9" i="47"/>
  <c r="GC9" i="47"/>
  <c r="GO9" i="47"/>
  <c r="FF9" i="47"/>
  <c r="FR9" i="47"/>
  <c r="GD9" i="47"/>
  <c r="FG9" i="47"/>
  <c r="FS9" i="47"/>
  <c r="GE9" i="47"/>
  <c r="FX9" i="47"/>
  <c r="FY9" i="47"/>
  <c r="EX9" i="47"/>
  <c r="GH9" i="47"/>
  <c r="EY9" i="47"/>
  <c r="GI9" i="47"/>
  <c r="FH9" i="47"/>
  <c r="GJ9" i="47"/>
  <c r="FI9" i="47"/>
  <c r="GK9" i="47"/>
  <c r="FJ9" i="47"/>
  <c r="FK9" i="47"/>
  <c r="FU9" i="47"/>
  <c r="FT9" i="47"/>
  <c r="FA22" i="47"/>
  <c r="FD22" i="47"/>
  <c r="FN22" i="47"/>
  <c r="FX22" i="47"/>
  <c r="GH22" i="47"/>
  <c r="FE22" i="47"/>
  <c r="FO22" i="47"/>
  <c r="FY22" i="47"/>
  <c r="GI22" i="47"/>
  <c r="FF22" i="47"/>
  <c r="FR22" i="47"/>
  <c r="GD22" i="47"/>
  <c r="FG22" i="47"/>
  <c r="FS22" i="47"/>
  <c r="GE22" i="47"/>
  <c r="FK22" i="47"/>
  <c r="FH22" i="47"/>
  <c r="FT22" i="47"/>
  <c r="GF22" i="47"/>
  <c r="FW22" i="47"/>
  <c r="FI22" i="47"/>
  <c r="FU22" i="47"/>
  <c r="GG22" i="47"/>
  <c r="FJ22" i="47"/>
  <c r="FV22" i="47"/>
  <c r="GJ22" i="47"/>
  <c r="EX22" i="47"/>
  <c r="GK22" i="47"/>
  <c r="EY22" i="47"/>
  <c r="FL22" i="47"/>
  <c r="FZ22" i="47"/>
  <c r="GL22" i="47"/>
  <c r="EZ22" i="47"/>
  <c r="FM22" i="47"/>
  <c r="GA22" i="47"/>
  <c r="GM22" i="47"/>
  <c r="FB22" i="47"/>
  <c r="FP22" i="47"/>
  <c r="GB22" i="47"/>
  <c r="GN22" i="47"/>
  <c r="FC22" i="47"/>
  <c r="GC22" i="47"/>
  <c r="FQ22" i="47"/>
  <c r="GO22" i="47"/>
  <c r="FF29" i="47"/>
  <c r="FP29" i="47"/>
  <c r="FZ29" i="47"/>
  <c r="GJ29" i="47"/>
  <c r="FE29" i="47"/>
  <c r="FQ29" i="47"/>
  <c r="GB29" i="47"/>
  <c r="GM29" i="47"/>
  <c r="FW29" i="47"/>
  <c r="FG29" i="47"/>
  <c r="FR29" i="47"/>
  <c r="GC29" i="47"/>
  <c r="GN29" i="47"/>
  <c r="FS29" i="47"/>
  <c r="GO29" i="47"/>
  <c r="FV29" i="47"/>
  <c r="FA29" i="47"/>
  <c r="FH29" i="47"/>
  <c r="GD29" i="47"/>
  <c r="EZ29" i="47"/>
  <c r="GG29" i="47"/>
  <c r="GH29" i="47"/>
  <c r="EX29" i="47"/>
  <c r="FI29" i="47"/>
  <c r="FT29" i="47"/>
  <c r="GE29" i="47"/>
  <c r="EY29" i="47"/>
  <c r="FJ29" i="47"/>
  <c r="FU29" i="47"/>
  <c r="GF29" i="47"/>
  <c r="FK29" i="47"/>
  <c r="FL29" i="47"/>
  <c r="FB29" i="47"/>
  <c r="FM29" i="47"/>
  <c r="FX29" i="47"/>
  <c r="GI29" i="47"/>
  <c r="FN29" i="47"/>
  <c r="GK29" i="47"/>
  <c r="FC29" i="47"/>
  <c r="FY29" i="47"/>
  <c r="FD29" i="47"/>
  <c r="GA29" i="47"/>
  <c r="FO29" i="47"/>
  <c r="GL29" i="47"/>
  <c r="FF24" i="47"/>
  <c r="FP24" i="47"/>
  <c r="FZ24" i="47"/>
  <c r="GJ24" i="47"/>
  <c r="FG24" i="47"/>
  <c r="FQ24" i="47"/>
  <c r="GA24" i="47"/>
  <c r="GK24" i="47"/>
  <c r="FD24" i="47"/>
  <c r="FR24" i="47"/>
  <c r="GD24" i="47"/>
  <c r="FE24" i="47"/>
  <c r="FS24" i="47"/>
  <c r="GE24" i="47"/>
  <c r="GI24" i="47"/>
  <c r="FH24" i="47"/>
  <c r="FT24" i="47"/>
  <c r="GF24" i="47"/>
  <c r="FI24" i="47"/>
  <c r="FU24" i="47"/>
  <c r="GG24" i="47"/>
  <c r="EX24" i="47"/>
  <c r="FJ24" i="47"/>
  <c r="FV24" i="47"/>
  <c r="GH24" i="47"/>
  <c r="EY24" i="47"/>
  <c r="FK24" i="47"/>
  <c r="FW24" i="47"/>
  <c r="EZ24" i="47"/>
  <c r="FL24" i="47"/>
  <c r="FX24" i="47"/>
  <c r="GL24" i="47"/>
  <c r="FA24" i="47"/>
  <c r="FM24" i="47"/>
  <c r="FY24" i="47"/>
  <c r="GM24" i="47"/>
  <c r="FN24" i="47"/>
  <c r="FB24" i="47"/>
  <c r="GB24" i="47"/>
  <c r="GN24" i="47"/>
  <c r="GO24" i="47"/>
  <c r="GC24" i="47"/>
  <c r="FC24" i="47"/>
  <c r="FO24" i="47"/>
  <c r="FE11" i="47"/>
  <c r="FO11" i="47"/>
  <c r="FY11" i="47"/>
  <c r="GI11" i="47"/>
  <c r="EX11" i="47"/>
  <c r="FF11" i="47"/>
  <c r="FP11" i="47"/>
  <c r="FZ11" i="47"/>
  <c r="GJ11" i="47"/>
  <c r="FA11" i="47"/>
  <c r="FM11" i="47"/>
  <c r="GA11" i="47"/>
  <c r="GM11" i="47"/>
  <c r="FB11" i="47"/>
  <c r="FN11" i="47"/>
  <c r="GB11" i="47"/>
  <c r="GN11" i="47"/>
  <c r="FC11" i="47"/>
  <c r="FQ11" i="47"/>
  <c r="GC11" i="47"/>
  <c r="GO11" i="47"/>
  <c r="FD11" i="47"/>
  <c r="FR11" i="47"/>
  <c r="GD11" i="47"/>
  <c r="FG11" i="47"/>
  <c r="FS11" i="47"/>
  <c r="GE11" i="47"/>
  <c r="FV11" i="47"/>
  <c r="EY11" i="47"/>
  <c r="FW11" i="47"/>
  <c r="EZ11" i="47"/>
  <c r="FX11" i="47"/>
  <c r="FH11" i="47"/>
  <c r="GF11" i="47"/>
  <c r="FI11" i="47"/>
  <c r="GG11" i="47"/>
  <c r="FJ11" i="47"/>
  <c r="GH11" i="47"/>
  <c r="FK11" i="47"/>
  <c r="GK11" i="47"/>
  <c r="FL11" i="47"/>
  <c r="GL11" i="47"/>
  <c r="FT11" i="47"/>
  <c r="FU11" i="47"/>
  <c r="EX26" i="47"/>
  <c r="FH26" i="47"/>
  <c r="FR26" i="47"/>
  <c r="GB26" i="47"/>
  <c r="GL26" i="47"/>
  <c r="EY26" i="47"/>
  <c r="FD26" i="47"/>
  <c r="FO26" i="47"/>
  <c r="FZ26" i="47"/>
  <c r="GK26" i="47"/>
  <c r="FE26" i="47"/>
  <c r="FP26" i="47"/>
  <c r="GA26" i="47"/>
  <c r="GM26" i="47"/>
  <c r="FJ26" i="47"/>
  <c r="GF26" i="47"/>
  <c r="EZ26" i="47"/>
  <c r="FF26" i="47"/>
  <c r="FQ26" i="47"/>
  <c r="GC26" i="47"/>
  <c r="GN26" i="47"/>
  <c r="FV26" i="47"/>
  <c r="FG26" i="47"/>
  <c r="FS26" i="47"/>
  <c r="GD26" i="47"/>
  <c r="GO26" i="47"/>
  <c r="FI26" i="47"/>
  <c r="FT26" i="47"/>
  <c r="GE26" i="47"/>
  <c r="FU26" i="47"/>
  <c r="FK26" i="47"/>
  <c r="GG26" i="47"/>
  <c r="FA26" i="47"/>
  <c r="FL26" i="47"/>
  <c r="FW26" i="47"/>
  <c r="GH26" i="47"/>
  <c r="FX26" i="47"/>
  <c r="FB26" i="47"/>
  <c r="FM26" i="47"/>
  <c r="GI26" i="47"/>
  <c r="GJ26" i="47"/>
  <c r="FC26" i="47"/>
  <c r="FN26" i="47"/>
  <c r="FY26" i="47"/>
  <c r="FC14" i="47"/>
  <c r="FM14" i="47"/>
  <c r="FW14" i="47"/>
  <c r="GG14" i="47"/>
  <c r="FD14" i="47"/>
  <c r="FN14" i="47"/>
  <c r="FX14" i="47"/>
  <c r="GH14" i="47"/>
  <c r="FG14" i="47"/>
  <c r="FS14" i="47"/>
  <c r="GE14" i="47"/>
  <c r="FH14" i="47"/>
  <c r="FT14" i="47"/>
  <c r="GF14" i="47"/>
  <c r="FI14" i="47"/>
  <c r="FU14" i="47"/>
  <c r="GI14" i="47"/>
  <c r="EX14" i="47"/>
  <c r="FJ14" i="47"/>
  <c r="FV14" i="47"/>
  <c r="GJ14" i="47"/>
  <c r="EY14" i="47"/>
  <c r="FK14" i="47"/>
  <c r="FY14" i="47"/>
  <c r="GK14" i="47"/>
  <c r="FP14" i="47"/>
  <c r="GN14" i="47"/>
  <c r="FQ14" i="47"/>
  <c r="GO14" i="47"/>
  <c r="FR14" i="47"/>
  <c r="EZ14" i="47"/>
  <c r="FZ14" i="47"/>
  <c r="FA14" i="47"/>
  <c r="GA14" i="47"/>
  <c r="FB14" i="47"/>
  <c r="GB14" i="47"/>
  <c r="FE14" i="47"/>
  <c r="GC14" i="47"/>
  <c r="FF14" i="47"/>
  <c r="GD14" i="47"/>
  <c r="FL14" i="47"/>
  <c r="GL14" i="47"/>
  <c r="FO14" i="47"/>
  <c r="GM14" i="47"/>
  <c r="EX10" i="47"/>
  <c r="FH10" i="47"/>
  <c r="FR10" i="47"/>
  <c r="GB10" i="47"/>
  <c r="GL10" i="47"/>
  <c r="EY10" i="47"/>
  <c r="FI10" i="47"/>
  <c r="FS10" i="47"/>
  <c r="GC10" i="47"/>
  <c r="GM10" i="47"/>
  <c r="FF10" i="47"/>
  <c r="FT10" i="47"/>
  <c r="GF10" i="47"/>
  <c r="FG10" i="47"/>
  <c r="FU10" i="47"/>
  <c r="GG10" i="47"/>
  <c r="FJ10" i="47"/>
  <c r="FV10" i="47"/>
  <c r="GH10" i="47"/>
  <c r="FK10" i="47"/>
  <c r="FW10" i="47"/>
  <c r="GI10" i="47"/>
  <c r="EZ10" i="47"/>
  <c r="FL10" i="47"/>
  <c r="FX10" i="47"/>
  <c r="GJ10" i="47"/>
  <c r="FA10" i="47"/>
  <c r="FM10" i="47"/>
  <c r="FY10" i="47"/>
  <c r="FN10" i="47"/>
  <c r="GO10" i="47"/>
  <c r="FO10" i="47"/>
  <c r="FP10" i="47"/>
  <c r="FQ10" i="47"/>
  <c r="FZ10" i="47"/>
  <c r="GA10" i="47"/>
  <c r="FB10" i="47"/>
  <c r="GD10" i="47"/>
  <c r="FC10" i="47"/>
  <c r="GE10" i="47"/>
  <c r="FD10" i="47"/>
  <c r="GK10" i="47"/>
  <c r="FE10" i="47"/>
  <c r="GN10" i="47"/>
  <c r="FE21" i="47"/>
  <c r="FO21" i="47"/>
  <c r="FY21" i="47"/>
  <c r="GI21" i="47"/>
  <c r="FF21" i="47"/>
  <c r="FP21" i="47"/>
  <c r="FZ21" i="47"/>
  <c r="GJ21" i="47"/>
  <c r="EY21" i="47"/>
  <c r="FK21" i="47"/>
  <c r="FW21" i="47"/>
  <c r="GK21" i="47"/>
  <c r="EZ21" i="47"/>
  <c r="FL21" i="47"/>
  <c r="FX21" i="47"/>
  <c r="GL21" i="47"/>
  <c r="FC21" i="47"/>
  <c r="FS21" i="47"/>
  <c r="GG21" i="47"/>
  <c r="FD21" i="47"/>
  <c r="FT21" i="47"/>
  <c r="GH21" i="47"/>
  <c r="FG21" i="47"/>
  <c r="FU21" i="47"/>
  <c r="GM21" i="47"/>
  <c r="FH21" i="47"/>
  <c r="FV21" i="47"/>
  <c r="GN21" i="47"/>
  <c r="FI21" i="47"/>
  <c r="GA21" i="47"/>
  <c r="GO21" i="47"/>
  <c r="FJ21" i="47"/>
  <c r="GB21" i="47"/>
  <c r="FM21" i="47"/>
  <c r="GC21" i="47"/>
  <c r="EX21" i="47"/>
  <c r="FN21" i="47"/>
  <c r="GD21" i="47"/>
  <c r="FA21" i="47"/>
  <c r="FQ21" i="47"/>
  <c r="GE21" i="47"/>
  <c r="FR21" i="47"/>
  <c r="FB21" i="47"/>
  <c r="GF21" i="47"/>
  <c r="FG18" i="47"/>
  <c r="FQ18" i="47"/>
  <c r="GA18" i="47"/>
  <c r="GK18" i="47"/>
  <c r="EX18" i="47"/>
  <c r="FH18" i="47"/>
  <c r="FR18" i="47"/>
  <c r="GB18" i="47"/>
  <c r="GL18" i="47"/>
  <c r="FE18" i="47"/>
  <c r="FS18" i="47"/>
  <c r="GE18" i="47"/>
  <c r="FF18" i="47"/>
  <c r="FT18" i="47"/>
  <c r="GF18" i="47"/>
  <c r="FK18" i="47"/>
  <c r="FY18" i="47"/>
  <c r="GO18" i="47"/>
  <c r="FL18" i="47"/>
  <c r="FZ18" i="47"/>
  <c r="EY18" i="47"/>
  <c r="FM18" i="47"/>
  <c r="GC18" i="47"/>
  <c r="EZ18" i="47"/>
  <c r="FN18" i="47"/>
  <c r="GD18" i="47"/>
  <c r="FA18" i="47"/>
  <c r="FO18" i="47"/>
  <c r="GG18" i="47"/>
  <c r="FB18" i="47"/>
  <c r="FP18" i="47"/>
  <c r="GH18" i="47"/>
  <c r="FC18" i="47"/>
  <c r="FU18" i="47"/>
  <c r="GI18" i="47"/>
  <c r="FD18" i="47"/>
  <c r="FV18" i="47"/>
  <c r="GJ18" i="47"/>
  <c r="FI18" i="47"/>
  <c r="FW18" i="47"/>
  <c r="GM18" i="47"/>
  <c r="FX18" i="47"/>
  <c r="FJ18" i="47"/>
  <c r="GN18" i="47"/>
  <c r="FD27" i="47"/>
  <c r="FN27" i="47"/>
  <c r="FX27" i="47"/>
  <c r="GH27" i="47"/>
  <c r="FE27" i="47"/>
  <c r="FP27" i="47"/>
  <c r="GA27" i="47"/>
  <c r="GL27" i="47"/>
  <c r="FF27" i="47"/>
  <c r="FQ27" i="47"/>
  <c r="GB27" i="47"/>
  <c r="GM27" i="47"/>
  <c r="FR27" i="47"/>
  <c r="FU27" i="47"/>
  <c r="FG27" i="47"/>
  <c r="GC27" i="47"/>
  <c r="GN27" i="47"/>
  <c r="EY27" i="47"/>
  <c r="GF27" i="47"/>
  <c r="FH27" i="47"/>
  <c r="FS27" i="47"/>
  <c r="GD27" i="47"/>
  <c r="GO27" i="47"/>
  <c r="EX27" i="47"/>
  <c r="FI27" i="47"/>
  <c r="FT27" i="47"/>
  <c r="GE27" i="47"/>
  <c r="FJ27" i="47"/>
  <c r="GG27" i="47"/>
  <c r="EZ27" i="47"/>
  <c r="FK27" i="47"/>
  <c r="FV27" i="47"/>
  <c r="FA27" i="47"/>
  <c r="FL27" i="47"/>
  <c r="FW27" i="47"/>
  <c r="GI27" i="47"/>
  <c r="FM27" i="47"/>
  <c r="GJ27" i="47"/>
  <c r="FB27" i="47"/>
  <c r="FY27" i="47"/>
  <c r="FZ27" i="47"/>
  <c r="GK27" i="47"/>
  <c r="FO27" i="47"/>
  <c r="FC27" i="47"/>
  <c r="EY20" i="47"/>
  <c r="FI20" i="47"/>
  <c r="FS20" i="47"/>
  <c r="GC20" i="47"/>
  <c r="GM20" i="47"/>
  <c r="EZ20" i="47"/>
  <c r="FJ20" i="47"/>
  <c r="FT20" i="47"/>
  <c r="GD20" i="47"/>
  <c r="GN20" i="47"/>
  <c r="FE20" i="47"/>
  <c r="FQ20" i="47"/>
  <c r="GE20" i="47"/>
  <c r="FF20" i="47"/>
  <c r="FR20" i="47"/>
  <c r="GF20" i="47"/>
  <c r="FA20" i="47"/>
  <c r="FO20" i="47"/>
  <c r="GG20" i="47"/>
  <c r="FB20" i="47"/>
  <c r="FP20" i="47"/>
  <c r="GH20" i="47"/>
  <c r="FC20" i="47"/>
  <c r="FU20" i="47"/>
  <c r="GI20" i="47"/>
  <c r="FD20" i="47"/>
  <c r="FV20" i="47"/>
  <c r="GJ20" i="47"/>
  <c r="FG20" i="47"/>
  <c r="FW20" i="47"/>
  <c r="GK20" i="47"/>
  <c r="FH20" i="47"/>
  <c r="FX20" i="47"/>
  <c r="GL20" i="47"/>
  <c r="FK20" i="47"/>
  <c r="FY20" i="47"/>
  <c r="GO20" i="47"/>
  <c r="FL20" i="47"/>
  <c r="FZ20" i="47"/>
  <c r="FM20" i="47"/>
  <c r="GA20" i="47"/>
  <c r="FN20" i="47"/>
  <c r="GB20" i="47"/>
  <c r="EX20" i="47"/>
  <c r="FA12" i="47"/>
  <c r="FK12" i="47"/>
  <c r="FU12" i="47"/>
  <c r="GE12" i="47"/>
  <c r="GO12" i="47"/>
  <c r="FB12" i="47"/>
  <c r="FL12" i="47"/>
  <c r="FV12" i="47"/>
  <c r="GF12" i="47"/>
  <c r="FG12" i="47"/>
  <c r="FS12" i="47"/>
  <c r="GG12" i="47"/>
  <c r="FH12" i="47"/>
  <c r="FT12" i="47"/>
  <c r="GH12" i="47"/>
  <c r="FI12" i="47"/>
  <c r="FW12" i="47"/>
  <c r="GI12" i="47"/>
  <c r="EX12" i="47"/>
  <c r="FJ12" i="47"/>
  <c r="FX12" i="47"/>
  <c r="GJ12" i="47"/>
  <c r="EY12" i="47"/>
  <c r="FM12" i="47"/>
  <c r="FY12" i="47"/>
  <c r="GK12" i="47"/>
  <c r="FD12" i="47"/>
  <c r="GB12" i="47"/>
  <c r="FE12" i="47"/>
  <c r="GC12" i="47"/>
  <c r="FF12" i="47"/>
  <c r="GD12" i="47"/>
  <c r="FN12" i="47"/>
  <c r="GL12" i="47"/>
  <c r="FO12" i="47"/>
  <c r="GM12" i="47"/>
  <c r="FP12" i="47"/>
  <c r="GN12" i="47"/>
  <c r="FQ12" i="47"/>
  <c r="FR12" i="47"/>
  <c r="EZ12" i="47"/>
  <c r="FZ12" i="47"/>
  <c r="GA12" i="47"/>
  <c r="FC12" i="47"/>
  <c r="EZ2" i="47"/>
  <c r="FD2" i="47"/>
  <c r="FN2" i="47"/>
  <c r="FX2" i="47"/>
  <c r="GH2" i="47"/>
  <c r="FH2" i="47"/>
  <c r="FS2" i="47"/>
  <c r="GD2" i="47"/>
  <c r="GO2" i="47"/>
  <c r="FU2" i="47"/>
  <c r="FI2" i="47"/>
  <c r="FT2" i="47"/>
  <c r="GE2" i="47"/>
  <c r="EX2" i="47"/>
  <c r="GF2" i="47"/>
  <c r="FB2" i="47"/>
  <c r="GJ2" i="47"/>
  <c r="FO2" i="47"/>
  <c r="FJ2" i="47"/>
  <c r="FY2" i="47"/>
  <c r="GK2" i="47"/>
  <c r="EY2" i="47"/>
  <c r="FK2" i="47"/>
  <c r="FV2" i="47"/>
  <c r="GG2" i="47"/>
  <c r="FA2" i="47"/>
  <c r="FL2" i="47"/>
  <c r="FW2" i="47"/>
  <c r="GI2" i="47"/>
  <c r="FZ2" i="47"/>
  <c r="FM2" i="47"/>
  <c r="FC2" i="47"/>
  <c r="FE2" i="47"/>
  <c r="FP2" i="47"/>
  <c r="GA2" i="47"/>
  <c r="GL2" i="47"/>
  <c r="FF2" i="47"/>
  <c r="GB2" i="47"/>
  <c r="FQ2" i="47"/>
  <c r="GM2" i="47"/>
  <c r="FG2" i="47"/>
  <c r="FR2" i="47"/>
  <c r="GC2" i="47"/>
  <c r="GN2" i="47"/>
  <c r="EZ23" i="47"/>
  <c r="FJ23" i="47"/>
  <c r="FT23" i="47"/>
  <c r="GD23" i="47"/>
  <c r="GN23" i="47"/>
  <c r="FA23" i="47"/>
  <c r="FK23" i="47"/>
  <c r="FU23" i="47"/>
  <c r="GE23" i="47"/>
  <c r="GO23" i="47"/>
  <c r="EX23" i="47"/>
  <c r="FL23" i="47"/>
  <c r="FX23" i="47"/>
  <c r="GJ23" i="47"/>
  <c r="EY23" i="47"/>
  <c r="FM23" i="47"/>
  <c r="FY23" i="47"/>
  <c r="GK23" i="47"/>
  <c r="FB23" i="47"/>
  <c r="FN23" i="47"/>
  <c r="FZ23" i="47"/>
  <c r="GL23" i="47"/>
  <c r="FC23" i="47"/>
  <c r="FO23" i="47"/>
  <c r="GA23" i="47"/>
  <c r="GM23" i="47"/>
  <c r="FD23" i="47"/>
  <c r="FP23" i="47"/>
  <c r="GB23" i="47"/>
  <c r="FE23" i="47"/>
  <c r="FQ23" i="47"/>
  <c r="GC23" i="47"/>
  <c r="FF23" i="47"/>
  <c r="FR23" i="47"/>
  <c r="GF23" i="47"/>
  <c r="FG23" i="47"/>
  <c r="FS23" i="47"/>
  <c r="GG23" i="47"/>
  <c r="FH23" i="47"/>
  <c r="FV23" i="47"/>
  <c r="GH23" i="47"/>
  <c r="GI23" i="47"/>
  <c r="FW23" i="47"/>
  <c r="FI23" i="47"/>
  <c r="FB4" i="47"/>
  <c r="FL4" i="47"/>
  <c r="FV4" i="47"/>
  <c r="GF4" i="47"/>
  <c r="FC4" i="47"/>
  <c r="FM4" i="47"/>
  <c r="FW4" i="47"/>
  <c r="GG4" i="47"/>
  <c r="FH4" i="47"/>
  <c r="FT4" i="47"/>
  <c r="GH4" i="47"/>
  <c r="FI4" i="47"/>
  <c r="FU4" i="47"/>
  <c r="GI4" i="47"/>
  <c r="EX4" i="47"/>
  <c r="FJ4" i="47"/>
  <c r="FX4" i="47"/>
  <c r="GJ4" i="47"/>
  <c r="EY4" i="47"/>
  <c r="FK4" i="47"/>
  <c r="FY4" i="47"/>
  <c r="GK4" i="47"/>
  <c r="EZ4" i="47"/>
  <c r="FN4" i="47"/>
  <c r="FZ4" i="47"/>
  <c r="GL4" i="47"/>
  <c r="FA4" i="47"/>
  <c r="FO4" i="47"/>
  <c r="GA4" i="47"/>
  <c r="GM4" i="47"/>
  <c r="GB4" i="47"/>
  <c r="GC4" i="47"/>
  <c r="FD4" i="47"/>
  <c r="GD4" i="47"/>
  <c r="FE4" i="47"/>
  <c r="GE4" i="47"/>
  <c r="FF4" i="47"/>
  <c r="GN4" i="47"/>
  <c r="FG4" i="47"/>
  <c r="GO4" i="47"/>
  <c r="FP4" i="47"/>
  <c r="FQ4" i="47"/>
  <c r="FR4" i="47"/>
  <c r="FS4" i="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DH3" authorId="0" shapeId="0" xr:uid="{0AD3BF13-B288-9A48-BCBB-0CAA15409872}">
      <text>
        <r>
          <rPr>
            <b/>
            <sz val="9"/>
            <color rgb="FF000000"/>
            <rFont val="Tahoma"/>
            <family val="2"/>
          </rPr>
          <t>James:</t>
        </r>
        <r>
          <rPr>
            <sz val="9"/>
            <color rgb="FF000000"/>
            <rFont val="Tahoma"/>
            <family val="2"/>
          </rPr>
          <t xml:space="preserve">
</t>
        </r>
        <r>
          <rPr>
            <sz val="9"/>
            <color rgb="FF000000"/>
            <rFont val="Tahoma"/>
            <family val="2"/>
          </rPr>
          <t xml:space="preserve">off-road - no effect
</t>
        </r>
        <r>
          <rPr>
            <sz val="9"/>
            <color rgb="FF000000"/>
            <rFont val="Tahoma"/>
            <family val="2"/>
          </rPr>
          <t xml:space="preserve">on-road - small effect, linear growth
</t>
        </r>
        <r>
          <rPr>
            <sz val="9"/>
            <color rgb="FF000000"/>
            <rFont val="Tahoma"/>
            <family val="2"/>
          </rPr>
          <t>no facility - medium effect, linear growth</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<sst xmlns="http://schemas.openxmlformats.org/spreadsheetml/2006/main" count="2802" uniqueCount="394">
  <si>
    <t>text</t>
  </si>
  <si>
    <t xml:space="preserve"> </t>
  </si>
  <si>
    <t>CycleRAP Score</t>
  </si>
  <si>
    <t>V-B</t>
  </si>
  <si>
    <t>B-B</t>
  </si>
  <si>
    <t>B-P</t>
  </si>
  <si>
    <t>SB</t>
  </si>
  <si>
    <t>Conflicts with vehicles</t>
  </si>
  <si>
    <t>Conflicts between bicycles and/or light mobility vehicles</t>
  </si>
  <si>
    <t>Conflicts with pedestrians</t>
  </si>
  <si>
    <t>Crashes which do not involve others</t>
  </si>
  <si>
    <t>Area type</t>
  </si>
  <si>
    <t>Inner urban</t>
  </si>
  <si>
    <t>Grade</t>
  </si>
  <si>
    <t>=/&gt; 5 degrees</t>
  </si>
  <si>
    <t>Facility type</t>
  </si>
  <si>
    <t>Off-road bicycle path</t>
  </si>
  <si>
    <t>Curvature</t>
  </si>
  <si>
    <t>Sharp turn Present</t>
  </si>
  <si>
    <t>Facility access</t>
  </si>
  <si>
    <t>Inadequate</t>
  </si>
  <si>
    <t>Street lighting</t>
  </si>
  <si>
    <t>Not present</t>
  </si>
  <si>
    <t>Loose or slippery surface</t>
  </si>
  <si>
    <t>Present</t>
  </si>
  <si>
    <t>Pedestrian crossing</t>
  </si>
  <si>
    <t>Tram or train rails</t>
  </si>
  <si>
    <t>Intersecting bicycle facility</t>
  </si>
  <si>
    <t>Major surface deformation or drain opening</t>
  </si>
  <si>
    <t>Intersection approach</t>
  </si>
  <si>
    <t>Shared</t>
  </si>
  <si>
    <t>Fixed obstacle on facility</t>
  </si>
  <si>
    <t>Intersection or road crossing</t>
  </si>
  <si>
    <t>Non-fixed obstacle on facility</t>
  </si>
  <si>
    <t>Crossing facility</t>
  </si>
  <si>
    <t>Delineation</t>
  </si>
  <si>
    <t>Number of lanes – adjacent road</t>
  </si>
  <si>
    <t>&gt; 1 per direction</t>
  </si>
  <si>
    <t>Light segregation</t>
  </si>
  <si>
    <t>Number of lanes – intersecting road</t>
  </si>
  <si>
    <t>Facility width per direction</t>
  </si>
  <si>
    <t>Very Narrow</t>
  </si>
  <si>
    <t>Property access</t>
  </si>
  <si>
    <t>Flow direction</t>
  </si>
  <si>
    <t>Two way</t>
  </si>
  <si>
    <t>Peak pedestrian flow along or across facility</t>
  </si>
  <si>
    <t>Moderate to high</t>
  </si>
  <si>
    <t>Width restriction</t>
  </si>
  <si>
    <t>Peak bicycle/LV traffic flow</t>
  </si>
  <si>
    <t>Adjacent road lane 0-1m</t>
  </si>
  <si>
    <t>Observed proportion of cargo bikes and mopeds</t>
  </si>
  <si>
    <t>Adjacent vehicle parking 0-1m</t>
  </si>
  <si>
    <t>Bicycle/LV speed – average</t>
  </si>
  <si>
    <t>=/&gt; 20km/h</t>
  </si>
  <si>
    <t>Adjacent severe hazard 0-1m</t>
  </si>
  <si>
    <t>Bicycle/LV speed differential</t>
  </si>
  <si>
    <t>=/&gt; 10km/h</t>
  </si>
  <si>
    <t>Adjacent object or level change 0-1m</t>
  </si>
  <si>
    <t>Road AADT</t>
  </si>
  <si>
    <t>&gt;</t>
  </si>
  <si>
    <t>Enter number</t>
  </si>
  <si>
    <t>Adjacent sidewalk 0-1m</t>
  </si>
  <si>
    <t>Heavy vehicle flow</t>
  </si>
  <si>
    <t>Adjacent road lane 1-3m</t>
  </si>
  <si>
    <t>Road speed limit</t>
  </si>
  <si>
    <t>Enter number (Optional - does not affect risk scores)</t>
  </si>
  <si>
    <t>Adjacent vehicle parking 1-3m</t>
  </si>
  <si>
    <t>Road operating speed (mean)</t>
  </si>
  <si>
    <t>Adjacent severe hazard 1-3m</t>
  </si>
  <si>
    <t>Road operating speed (unit)</t>
  </si>
  <si>
    <t>mph</t>
  </si>
  <si>
    <t>Adjacent object or level change 1-3m</t>
  </si>
  <si>
    <t>Adjacent sidewalk 1-3m</t>
  </si>
  <si>
    <t>Image reference</t>
  </si>
  <si>
    <t>Coder name</t>
  </si>
  <si>
    <t>Coding date</t>
  </si>
  <si>
    <t>Image capture date</t>
  </si>
  <si>
    <t>Road/facility name or descriptor</t>
  </si>
  <si>
    <t>Distance</t>
  </si>
  <si>
    <t>Length</t>
  </si>
  <si>
    <t>GPS coordinates – latitude start</t>
  </si>
  <si>
    <t>GPS coordinates – longitude start</t>
  </si>
  <si>
    <t>GPS coordinates – latitude end</t>
  </si>
  <si>
    <t>GPS coordinates – longitude end</t>
  </si>
  <si>
    <t>Comments</t>
  </si>
  <si>
    <t>Light Segregation</t>
  </si>
  <si>
    <t>Upgrade existing facility to an on-road bicycle lane with light segregation</t>
  </si>
  <si>
    <t>Smoothed Section ID</t>
  </si>
  <si>
    <t>BB</t>
  </si>
  <si>
    <t>BB Smoothed</t>
  </si>
  <si>
    <t>BP</t>
  </si>
  <si>
    <t>BP Smoothed</t>
  </si>
  <si>
    <t>SB Smoothed</t>
  </si>
  <si>
    <t>VB</t>
  </si>
  <si>
    <t>VBSmoothed</t>
  </si>
  <si>
    <t>CycleRAP score</t>
  </si>
  <si>
    <t>CycleRAP score Smoothed</t>
  </si>
  <si>
    <t>BB Band</t>
  </si>
  <si>
    <t>BP Band</t>
  </si>
  <si>
    <t>SB Band</t>
  </si>
  <si>
    <t>VB Band</t>
  </si>
  <si>
    <t>CycleRAP score Band</t>
  </si>
  <si>
    <t>VB Smoothed</t>
  </si>
  <si>
    <t>Low</t>
  </si>
  <si>
    <t/>
  </si>
  <si>
    <t>Upload Specification</t>
  </si>
  <si>
    <t>Inputs</t>
  </si>
  <si>
    <t>Coded Cat ID</t>
  </si>
  <si>
    <t>Mode</t>
  </si>
  <si>
    <t>Model</t>
  </si>
  <si>
    <t>Column ID</t>
  </si>
  <si>
    <t>Column letter</t>
  </si>
  <si>
    <t>Category</t>
  </si>
  <si>
    <t>Attribute</t>
  </si>
  <si>
    <t>Type</t>
  </si>
  <si>
    <t>CAT ID</t>
  </si>
  <si>
    <t>Attribute options</t>
  </si>
  <si>
    <t>Notes</t>
  </si>
  <si>
    <t>Attributes</t>
  </si>
  <si>
    <t>Catagories</t>
  </si>
  <si>
    <t>Manual</t>
  </si>
  <si>
    <t>Auto</t>
  </si>
  <si>
    <t>Total</t>
  </si>
  <si>
    <t>Crash type</t>
  </si>
  <si>
    <t>OUTCOME</t>
  </si>
  <si>
    <t>COND. Result</t>
  </si>
  <si>
    <t>CONDITIONALS (1 OR 0)</t>
  </si>
  <si>
    <t>Coded ID</t>
  </si>
  <si>
    <t>Coded Risk factor</t>
  </si>
  <si>
    <t>SEV RESULT</t>
  </si>
  <si>
    <t xml:space="preserve">Severity determinant </t>
  </si>
  <si>
    <t>Type of crash initiation</t>
  </si>
  <si>
    <t>TRIGGERS (1 OR 0)</t>
  </si>
  <si>
    <t>Contributing factors (likelihood)</t>
  </si>
  <si>
    <t>RiSK FACTOR</t>
  </si>
  <si>
    <t>Conditionals</t>
  </si>
  <si>
    <t>Attribute options (km/h)</t>
  </si>
  <si>
    <t>TR- Vehicle impact</t>
  </si>
  <si>
    <t>VB-conditionals</t>
  </si>
  <si>
    <t>VB-severity</t>
  </si>
  <si>
    <t>VB-CF</t>
  </si>
  <si>
    <t>A</t>
  </si>
  <si>
    <t>Location attribute</t>
  </si>
  <si>
    <t>Text</t>
  </si>
  <si>
    <t>NA</t>
  </si>
  <si>
    <t>(Text)</t>
  </si>
  <si>
    <t>C</t>
  </si>
  <si>
    <t>CycleRAP scoring</t>
  </si>
  <si>
    <t>Conflict with other user (on facility)</t>
  </si>
  <si>
    <t>Avoidance manoeuvre</t>
  </si>
  <si>
    <t>Facility</t>
  </si>
  <si>
    <t>Adequate</t>
  </si>
  <si>
    <t>AADT</t>
  </si>
  <si>
    <t>Sidewalk</t>
  </si>
  <si>
    <t>B</t>
  </si>
  <si>
    <t>(Date)</t>
  </si>
  <si>
    <t>20181114132427.539+01:00</t>
  </si>
  <si>
    <t>Multi-use path</t>
  </si>
  <si>
    <t>D</t>
  </si>
  <si>
    <t>(URL or file name)</t>
  </si>
  <si>
    <t>On-road bicycle lane</t>
  </si>
  <si>
    <t>E</t>
  </si>
  <si>
    <t>Lange Zijde</t>
  </si>
  <si>
    <t>Road shoulder</t>
  </si>
  <si>
    <t>F</t>
  </si>
  <si>
    <t>(Number)</t>
  </si>
  <si>
    <t xml:space="preserve">Departure from facility </t>
  </si>
  <si>
    <t>Mixed traffic road lane</t>
  </si>
  <si>
    <t>G</t>
  </si>
  <si>
    <t>(Coding segment length km, e.g. 0.001)</t>
  </si>
  <si>
    <t>H</t>
  </si>
  <si>
    <t>GPS coordinates – start</t>
  </si>
  <si>
    <t>(Latitude)</t>
  </si>
  <si>
    <t>I</t>
  </si>
  <si>
    <t>(Longitude)</t>
  </si>
  <si>
    <t>J</t>
  </si>
  <si>
    <t>GPS coordinates – end</t>
  </si>
  <si>
    <t>K</t>
  </si>
  <si>
    <t>L</t>
  </si>
  <si>
    <t>M</t>
  </si>
  <si>
    <t>Outer urban</t>
  </si>
  <si>
    <t>Loss of control – speed</t>
  </si>
  <si>
    <t>Rural</t>
  </si>
  <si>
    <t>Industrial</t>
  </si>
  <si>
    <t>Narrow</t>
  </si>
  <si>
    <t>N</t>
  </si>
  <si>
    <t>Wide</t>
  </si>
  <si>
    <t>One way</t>
  </si>
  <si>
    <t>Fall/conflict on facility</t>
  </si>
  <si>
    <t>O</t>
  </si>
  <si>
    <t>Loss of control – function</t>
  </si>
  <si>
    <t>P</t>
  </si>
  <si>
    <t>Q</t>
  </si>
  <si>
    <t>R</t>
  </si>
  <si>
    <t>S</t>
  </si>
  <si>
    <t>T</t>
  </si>
  <si>
    <t>U</t>
  </si>
  <si>
    <t>V</t>
  </si>
  <si>
    <t>Light Segreagtion</t>
  </si>
  <si>
    <t>Conflict with motorised vehicle - Share space</t>
  </si>
  <si>
    <t>Vehicle impact</t>
  </si>
  <si>
    <t>W</t>
  </si>
  <si>
    <t>X</t>
  </si>
  <si>
    <t>Unacessible facility - Part 2</t>
  </si>
  <si>
    <t>&lt; 5 degrees</t>
  </si>
  <si>
    <t xml:space="preserve">Conflict with motorised vehicle - Vehicle deviation </t>
  </si>
  <si>
    <t>Y</t>
  </si>
  <si>
    <t>No sharp turn present</t>
  </si>
  <si>
    <t>Z</t>
  </si>
  <si>
    <t>Conflict with motorised vehicle - Intersection</t>
  </si>
  <si>
    <t>AA</t>
  </si>
  <si>
    <t>AB</t>
  </si>
  <si>
    <t>AC</t>
  </si>
  <si>
    <t>Separate/ NA</t>
  </si>
  <si>
    <t>AD</t>
  </si>
  <si>
    <t>AE</t>
  </si>
  <si>
    <t>Present/NA</t>
  </si>
  <si>
    <t>Operating speed (mean + unit)</t>
  </si>
  <si>
    <t>-</t>
  </si>
  <si>
    <t>AF</t>
  </si>
  <si>
    <t>Road proximity</t>
  </si>
  <si>
    <t>1 per direction/NA</t>
  </si>
  <si>
    <t>Unacessible facility - Part 1</t>
  </si>
  <si>
    <t>AG</t>
  </si>
  <si>
    <t>1 per direction</t>
  </si>
  <si>
    <t>AH</t>
  </si>
  <si>
    <t>AI</t>
  </si>
  <si>
    <t>Speed/volume</t>
  </si>
  <si>
    <t>None</t>
  </si>
  <si>
    <t>AJ</t>
  </si>
  <si>
    <t>AK</t>
  </si>
  <si>
    <t>AL</t>
  </si>
  <si>
    <t>&lt; 20km/h</t>
  </si>
  <si>
    <t>AM</t>
  </si>
  <si>
    <t>&lt; 10km/h</t>
  </si>
  <si>
    <t>AN</t>
  </si>
  <si>
    <t>Low/restricted access</t>
  </si>
  <si>
    <t>AO</t>
  </si>
  <si>
    <t>AP</t>
  </si>
  <si>
    <t>AQ</t>
  </si>
  <si>
    <t>AR</t>
  </si>
  <si>
    <t>Combined Attributes</t>
  </si>
  <si>
    <t>AS</t>
  </si>
  <si>
    <t>Attribute Y</t>
  </si>
  <si>
    <t>Operating speed (unit)</t>
  </si>
  <si>
    <t>Attribute X</t>
  </si>
  <si>
    <t>AT</t>
  </si>
  <si>
    <t>Km/h</t>
  </si>
  <si>
    <t>AU</t>
  </si>
  <si>
    <t>AV</t>
  </si>
  <si>
    <t>AW</t>
  </si>
  <si>
    <t>AX</t>
  </si>
  <si>
    <t>AY</t>
  </si>
  <si>
    <t>AZ</t>
  </si>
  <si>
    <t>BA</t>
  </si>
  <si>
    <t>Number</t>
  </si>
  <si>
    <t>BC</t>
  </si>
  <si>
    <t>BD</t>
  </si>
  <si>
    <t>km/h</t>
  </si>
  <si>
    <t>Accesible</t>
  </si>
  <si>
    <t>Non accessible - close to road</t>
  </si>
  <si>
    <t>Non accessible - not close to road</t>
  </si>
  <si>
    <t>Facility Type</t>
  </si>
  <si>
    <t>Validation type</t>
  </si>
  <si>
    <t>Attribute 1 - column</t>
  </si>
  <si>
    <t>Attribute 1 - name</t>
  </si>
  <si>
    <t>Attribute 1 category - code</t>
  </si>
  <si>
    <t>Attribute 1 category - description</t>
  </si>
  <si>
    <t>Operator</t>
  </si>
  <si>
    <t>Attribute 2 - column</t>
  </si>
  <si>
    <t>Attribute 2 - name</t>
  </si>
  <si>
    <t>Attribute 2 category - code</t>
  </si>
  <si>
    <t>Attribute 2 category - description</t>
  </si>
  <si>
    <t>ERROR</t>
  </si>
  <si>
    <t>AND</t>
  </si>
  <si>
    <t>equal to zero</t>
  </si>
  <si>
    <t>No present</t>
  </si>
  <si>
    <t>WARNING</t>
  </si>
  <si>
    <t>Treatment ID</t>
  </si>
  <si>
    <t>Name</t>
  </si>
  <si>
    <t>Treatment rank</t>
  </si>
  <si>
    <t>Improve surface conditions</t>
  </si>
  <si>
    <t>Install light segregation</t>
  </si>
  <si>
    <t>Install lighting</t>
  </si>
  <si>
    <t>Treatments and Outcomes</t>
  </si>
  <si>
    <t>Outcome 1 attribute - column</t>
  </si>
  <si>
    <t>Outcome 1 attribute - name</t>
  </si>
  <si>
    <t>Outcome 1 category - code</t>
  </si>
  <si>
    <t>Outcome 1 category - description</t>
  </si>
  <si>
    <t>Outcome 2 attribute - column</t>
  </si>
  <si>
    <t>Outcome 2 attribute - name</t>
  </si>
  <si>
    <t>Outcome 2 category - code</t>
  </si>
  <si>
    <t>Outcome 2 category - description</t>
  </si>
  <si>
    <t>Treatments Triggers</t>
  </si>
  <si>
    <t>CM Name</t>
  </si>
  <si>
    <t>Upgrade existing facility to a cycling-priority street</t>
  </si>
  <si>
    <t>Upgrade existing facility to a multi-use path</t>
  </si>
  <si>
    <t>Upgrade existing facility to an off-road bicycle path</t>
  </si>
  <si>
    <t>Upgrade existing facility to a one-way bicycle facility</t>
  </si>
  <si>
    <t>Clear facility – Remove fixed obstacle/s</t>
  </si>
  <si>
    <t>Clear facility – Remove non-fixed obstacle/s</t>
  </si>
  <si>
    <t>Clear facility – Remove width restriction</t>
  </si>
  <si>
    <t>Improve facility access</t>
  </si>
  <si>
    <t>Redesign the curve</t>
  </si>
  <si>
    <t>Widen the facility</t>
  </si>
  <si>
    <t>Install protective barrier</t>
  </si>
  <si>
    <t>Improve delineation</t>
  </si>
  <si>
    <t>Review intersection approach</t>
  </si>
  <si>
    <t>Improve safety of crossing design</t>
  </si>
  <si>
    <t>Evaluate need for grade separation</t>
  </si>
  <si>
    <t>Reconfigure or remove parking</t>
  </si>
  <si>
    <t>Review configuration of train/tram rails</t>
  </si>
  <si>
    <t>Install traffic calming (km/h)</t>
  </si>
  <si>
    <t>Vehicles speed control</t>
  </si>
  <si>
    <t>Bicycles speed control</t>
  </si>
  <si>
    <t>Install traffic calming (mph)</t>
  </si>
  <si>
    <t>Upgrade existing facility to a cycling-priority street (mph)</t>
  </si>
  <si>
    <t>Treatments Triggered</t>
  </si>
  <si>
    <t>Triggered</t>
  </si>
  <si>
    <t xml:space="preserve">Input data </t>
  </si>
  <si>
    <t>Treatments Individual outcomes</t>
  </si>
  <si>
    <t>Treatments Individual results</t>
  </si>
  <si>
    <t>CM ID</t>
  </si>
  <si>
    <t xml:space="preserve">Not present </t>
  </si>
  <si>
    <t>Trigger set ID</t>
  </si>
  <si>
    <t># attributes with triggers</t>
  </si>
  <si>
    <r>
      <t>Multi-use path  </t>
    </r>
    <r>
      <rPr>
        <sz val="9"/>
        <color theme="1"/>
        <rFont val="Arial"/>
        <family val="2"/>
      </rPr>
      <t> </t>
    </r>
  </si>
  <si>
    <t>#triggers matched</t>
  </si>
  <si>
    <r>
      <t>Off-road bicycle path  </t>
    </r>
    <r>
      <rPr>
        <sz val="9"/>
        <color theme="1"/>
        <rFont val="Arial"/>
        <family val="2"/>
      </rPr>
      <t> </t>
    </r>
  </si>
  <si>
    <t>AND´</t>
  </si>
  <si>
    <t>AADT triggers passed</t>
  </si>
  <si>
    <t>Speed triggers passed</t>
  </si>
  <si>
    <t>Cat name</t>
  </si>
  <si>
    <t>Cat ID</t>
  </si>
  <si>
    <t>Input data</t>
  </si>
  <si>
    <t>All trigger match</t>
  </si>
  <si>
    <t>Separate / NA</t>
  </si>
  <si>
    <t>Present / NA</t>
  </si>
  <si>
    <t>Greater than or equal to</t>
  </si>
  <si>
    <t>&gt;=</t>
  </si>
  <si>
    <t>Greater than</t>
  </si>
  <si>
    <t>Less than</t>
  </si>
  <si>
    <t>&lt;</t>
  </si>
  <si>
    <t>Less than or equal to</t>
  </si>
  <si>
    <t>&lt;=</t>
  </si>
  <si>
    <t>Road operating speed (mean) - km/h</t>
  </si>
  <si>
    <t>Output (results)</t>
  </si>
  <si>
    <t>area type</t>
  </si>
  <si>
    <t>category ID</t>
  </si>
  <si>
    <t>length (KM)</t>
  </si>
  <si>
    <t>Upload data</t>
  </si>
  <si>
    <t>Item</t>
  </si>
  <si>
    <t>Read Column</t>
  </si>
  <si>
    <t>Write Column</t>
  </si>
  <si>
    <t>Value</t>
  </si>
  <si>
    <t>reference</t>
  </si>
  <si>
    <t>cat</t>
  </si>
  <si>
    <t>&lt; 2m</t>
  </si>
  <si>
    <t>&lt; 7.5 degrees</t>
  </si>
  <si>
    <t>=/&gt; 2m</t>
  </si>
  <si>
    <t>=/&gt; 7.5 degrees</t>
  </si>
  <si>
    <t>Not present/NA</t>
  </si>
  <si>
    <t>Blank</t>
  </si>
  <si>
    <t>data</t>
  </si>
  <si>
    <t>smooth section</t>
  </si>
  <si>
    <t>Score</t>
  </si>
  <si>
    <t>Smoothed</t>
  </si>
  <si>
    <t>CycleRAP score_smoothed</t>
  </si>
  <si>
    <t>Band</t>
  </si>
  <si>
    <t>BB Band Smoothed</t>
  </si>
  <si>
    <t>Smoothed band</t>
  </si>
  <si>
    <t>BP Band Smoothed</t>
  </si>
  <si>
    <t>SB Band Smoothed</t>
  </si>
  <si>
    <t>VB Band Smoothed</t>
  </si>
  <si>
    <t>end</t>
  </si>
  <si>
    <t>Coding order</t>
  </si>
  <si>
    <t>Risk V2.10</t>
  </si>
  <si>
    <t>Exp</t>
  </si>
  <si>
    <t>Operating speed (max)</t>
  </si>
  <si>
    <t>IV</t>
  </si>
  <si>
    <t>Validation rule</t>
  </si>
  <si>
    <t>Upgrade existing facility to an on-road bicycle lane with safety barrier (Adjacent road lane 1-3m)</t>
  </si>
  <si>
    <t>Upgrade existing facility to an on-road bicycle lane with safety barrier (Adjacent road lane 0-1m)</t>
  </si>
  <si>
    <t>Upgrade existing facility to an on-road bicycle lane with safety barrier  (Adjacent road lane 0-1m)</t>
  </si>
  <si>
    <t>Value requirements</t>
  </si>
  <si>
    <t>Compulsory</t>
  </si>
  <si>
    <t>Optional</t>
  </si>
  <si>
    <t>not present</t>
  </si>
  <si>
    <t>Franco Azzato</t>
  </si>
  <si>
    <t>Gabriel G</t>
  </si>
  <si>
    <t>F004560</t>
  </si>
  <si>
    <t>Carrera 30</t>
  </si>
  <si>
    <t>auto</t>
  </si>
  <si>
    <t>Old risk fators (km/h)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</si>
</sst>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47" x14ac:knownFonts="1">
    <font>
      <sz val="9"/>
      <color theme="1"/>
      <name val="Calibri"/>
      <family val="2"/>
      <scheme val="minor"/>
    </font>
    <font>
      <b/>
      <sz val="9"/>
      <color theme="1"/>
      <name val="Calibri"/>
      <family val="2"/>
      <scheme val="minor"/>
    </font>
    <font>
      <b/>
      <sz val="16"/>
      <color theme="1"/>
      <name val="Calibri"/>
      <family val="2"/>
      <scheme val="minor"/>
    </font>
    <font>
      <sz val="10"/>
      <name val="Arial"/>
      <family val="2"/>
    </font>
    <font>
      <u/>
      <sz val="10"/>
      <color indexed="12"/>
      <name val="Arial"/>
      <family val="2"/>
    </font>
    <font>
      <sz val="9"/>
      <color rgb="FF000000"/>
      <name val="Calibri"/>
      <family val="2"/>
      <scheme val="minor"/>
    </font>
    <font>
      <sz val="8"/>
      <color rgb="FF000000"/>
      <name val="Calibri"/>
      <family val="2"/>
      <scheme val="minor"/>
    </font>
    <font>
      <sz val="8"/>
      <color theme="1"/>
      <name val="Calibri"/>
      <family val="2"/>
      <scheme val="minor"/>
    </font>
    <font>
      <sz val="10"/>
      <color rgb="FF000000"/>
      <name val="Calibri"/>
      <family val="2"/>
      <scheme val="minor"/>
    </font>
    <font>
      <sz val="10"/>
      <color theme="1"/>
      <name val="Calibri"/>
      <family val="2"/>
      <scheme val="minor"/>
    </font>
    <font>
      <sz val="9"/>
      <color rgb="FFFF0000"/>
      <name val="Calibri"/>
      <family val="2"/>
      <scheme val="minor"/>
    </font>
    <font>
      <sz val="8"/>
      <color theme="1"/>
      <name val="Arial"/>
      <family val="2"/>
    </font>
    <font>
      <sz val="8"/>
      <name val="Calibri"/>
      <family val="2"/>
      <scheme val="minor"/>
    </font>
    <font>
      <b/>
      <sz val="12"/>
      <color theme="1"/>
      <name val="Calibri"/>
      <family val="2"/>
      <scheme val="minor"/>
    </font>
    <font>
      <sz val="12"/>
      <color rgb="FF000000"/>
      <name val="Calibri"/>
      <family val="2"/>
      <scheme val="minor"/>
    </font>
    <font>
      <sz val="12"/>
      <name val="Calibri"/>
      <family val="2"/>
      <scheme val="minor"/>
    </font>
    <font>
      <b/>
      <sz val="9"/>
      <color rgb="FF000000"/>
      <name val="Tahoma"/>
      <family val="2"/>
    </font>
    <font>
      <sz val="9"/>
      <color rgb="FF000000"/>
      <name val="Tahoma"/>
      <family val="2"/>
    </font>
    <font>
      <b/>
      <sz val="11"/>
      <color theme="1"/>
      <name val="Calibri"/>
      <family val="2"/>
      <scheme val="minor"/>
    </font>
    <font>
      <sz val="11"/>
      <color theme="1"/>
      <name val="Calibri"/>
      <family val="2"/>
      <scheme val="minor"/>
    </font>
    <font>
      <sz val="11"/>
      <color rgb="FF000000"/>
      <name val="Calibri"/>
      <family val="2"/>
      <scheme val="minor"/>
    </font>
    <font>
      <sz val="11"/>
      <name val="Calibri"/>
      <family val="2"/>
      <scheme val="minor"/>
    </font>
    <font>
      <sz val="9"/>
      <color theme="0" tint="-0.14999847407452621"/>
      <name val="Calibri"/>
      <family val="2"/>
      <scheme val="minor"/>
    </font>
    <font>
      <sz val="12"/>
      <color rgb="FF000000"/>
      <name val="Arial"/>
      <family val="2"/>
    </font>
    <font>
      <sz val="12"/>
      <color theme="1"/>
      <name val="Arial"/>
      <family val="2"/>
    </font>
    <font>
      <sz val="20"/>
      <color theme="1"/>
      <name val="Arial"/>
      <family val="2"/>
    </font>
    <font>
      <sz val="10"/>
      <color theme="1"/>
      <name val="Arial"/>
      <family val="2"/>
    </font>
    <font>
      <sz val="16"/>
      <color theme="1"/>
      <name val="Arial"/>
      <family val="2"/>
    </font>
    <font>
      <sz val="16"/>
      <color theme="0"/>
      <name val="Calibri"/>
      <family val="2"/>
      <scheme val="minor"/>
    </font>
    <font>
      <sz val="9"/>
      <color theme="1"/>
      <name val="Arial"/>
      <family val="2"/>
    </font>
    <font>
      <sz val="16"/>
      <color theme="0"/>
      <name val="Arial"/>
      <family val="2"/>
    </font>
    <font>
      <sz val="9"/>
      <color theme="0"/>
      <name val="Calibri"/>
      <family val="2"/>
      <scheme val="minor"/>
    </font>
    <font>
      <b/>
      <sz val="12"/>
      <color rgb="FF000000"/>
      <name val="Calibri"/>
      <family val="2"/>
      <scheme val="minor"/>
    </font>
    <font>
      <b/>
      <sz val="8"/>
      <color theme="1"/>
      <name val="Calibri"/>
      <family val="2"/>
      <scheme val="minor"/>
    </font>
    <font>
      <b/>
      <sz val="8"/>
      <color theme="1"/>
      <name val="Arial"/>
      <family val="2"/>
    </font>
    <font>
      <sz val="8"/>
      <name val="Arial"/>
      <family val="2"/>
    </font>
    <font>
      <sz val="8"/>
      <color rgb="FF0070C0"/>
      <name val="Calibri"/>
      <family val="2"/>
      <scheme val="minor"/>
    </font>
    <font>
      <sz val="8"/>
      <color theme="4" tint="-0.249977111117893"/>
      <name val="Calibri"/>
      <family val="2"/>
      <scheme val="minor"/>
    </font>
    <font>
      <b/>
      <sz val="26"/>
      <color theme="1"/>
      <name val="Calibri"/>
      <family val="2"/>
      <scheme val="minor"/>
    </font>
    <font>
      <sz val="9"/>
      <color rgb="FF00B050"/>
      <name val="Arial"/>
      <family val="2"/>
    </font>
    <font>
      <sz val="9"/>
      <color rgb="FF0070C0"/>
      <name val="Calibri"/>
      <family val="2"/>
      <scheme val="minor"/>
    </font>
    <font>
      <sz val="9"/>
      <color theme="4" tint="-0.249977111117893"/>
      <name val="Calibri"/>
      <family val="2"/>
      <scheme val="minor"/>
    </font>
    <font>
      <sz val="9"/>
      <color rgb="FFFF3300"/>
      <name val="Calibri"/>
      <family val="2"/>
      <scheme val="minor"/>
    </font>
    <font>
      <sz val="9"/>
      <color rgb="FF38B449"/>
      <name val="Arial"/>
      <family val="2"/>
    </font>
    <font>
      <sz val="9"/>
      <name val="Calibri"/>
      <family val="2"/>
      <scheme val="minor"/>
    </font>
    <font>
      <b/>
      <sz val="10"/>
      <color rgb="FF000000"/>
      <name val="Calibri"/>
      <family val="2"/>
      <scheme val="minor"/>
    </font>
    <font>
      <sz val="8"/>
      <color rgb="FF000000"/>
      <name val="Arial"/>
      <family val="2"/>
    </font>
  </fonts>
  <fills count="21">
    <fill>
      <patternFill patternType="none"/>
    </fill>
    <fill>
      <patternFill patternType="gray125"/>
    </fill>
    <fill>
      <patternFill patternType="solid">
        <fgColor theme="7" tint="0.79998168889431442"/>
        <bgColor indexed="64"/>
      </patternFill>
    </fill>
    <fill>
      <patternFill patternType="solid">
        <fgColor rgb="FFE7EDE9"/>
        <bgColor indexed="64"/>
      </patternFill>
    </fill>
    <fill>
      <patternFill patternType="solid">
        <fgColor theme="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023549"/>
        <bgColor indexed="64"/>
      </patternFill>
    </fill>
    <fill>
      <patternFill patternType="solid">
        <fgColor theme="2"/>
        <bgColor indexed="64"/>
      </patternFill>
    </fill>
    <fill>
      <patternFill patternType="solid">
        <fgColor rgb="FFFFF2CC"/>
        <bgColor rgb="FF000000"/>
      </patternFill>
    </fill>
    <fill>
      <patternFill patternType="solid">
        <fgColor rgb="FFDDEBF7"/>
        <bgColor rgb="FF000000"/>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F0000"/>
        <bgColor indexed="64"/>
      </patternFill>
    </fill>
    <fill>
      <patternFill patternType="solid">
        <fgColor rgb="FFD4CDFF"/>
        <bgColor indexed="64"/>
      </patternFill>
    </fill>
    <fill>
      <patternFill patternType="solid">
        <fgColor rgb="FFD4CDFF"/>
        <bgColor rgb="FF000000"/>
      </patternFill>
    </fill>
    <fill>
      <patternFill patternType="solid">
        <fgColor theme="8" tint="0.79998168889431442"/>
        <bgColor indexed="64"/>
      </patternFill>
    </fill>
    <fill>
      <patternFill patternType="solid">
        <fgColor theme="4"/>
        <bgColor indexed="64"/>
      </patternFill>
    </fill>
    <fill>
      <patternFill patternType="solid">
        <fgColor theme="4" tint="0.39997558519241921"/>
        <bgColor indexed="64"/>
      </patternFill>
    </fill>
  </fills>
  <borders count="65">
    <border>
      <left/>
      <right/>
      <top/>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34998626667073579"/>
      </top>
      <bottom/>
      <diagonal/>
    </border>
    <border>
      <left/>
      <right/>
      <top style="thin">
        <color theme="0" tint="-0.34998626667073579"/>
      </top>
      <bottom style="thin">
        <color theme="0" tint="-0.34998626667073579"/>
      </bottom>
      <diagonal/>
    </border>
    <border>
      <left/>
      <right/>
      <top style="thin">
        <color theme="4" tint="-0.24994659260841701"/>
      </top>
      <bottom/>
      <diagonal/>
    </border>
    <border>
      <left/>
      <right/>
      <top/>
      <bottom style="thin">
        <color theme="0" tint="-0.34998626667073579"/>
      </bottom>
      <diagonal/>
    </border>
    <border>
      <left/>
      <right/>
      <top style="thin">
        <color indexed="64"/>
      </top>
      <bottom/>
      <diagonal/>
    </border>
    <border>
      <left/>
      <right/>
      <top/>
      <bottom style="thin">
        <color indexed="64"/>
      </bottom>
      <diagonal/>
    </border>
    <border>
      <left/>
      <right/>
      <top/>
      <bottom style="thin">
        <color theme="4"/>
      </bottom>
      <diagonal/>
    </border>
    <border>
      <left/>
      <right/>
      <top style="thin">
        <color theme="0" tint="-0.34998626667073579"/>
      </top>
      <bottom style="thin">
        <color theme="4"/>
      </bottom>
      <diagonal/>
    </border>
    <border>
      <left/>
      <right/>
      <top style="thin">
        <color theme="4"/>
      </top>
      <bottom/>
      <diagonal/>
    </border>
    <border>
      <left/>
      <right/>
      <top style="thin">
        <color theme="4"/>
      </top>
      <bottom style="thin">
        <color theme="0" tint="-0.34998626667073579"/>
      </bottom>
      <diagonal/>
    </border>
    <border>
      <left/>
      <right/>
      <top/>
      <bottom style="thin">
        <color theme="4" tint="0.39997558519241921"/>
      </bottom>
      <diagonal/>
    </border>
    <border>
      <left/>
      <right/>
      <top style="thin">
        <color theme="0" tint="-0.34998626667073579"/>
      </top>
      <bottom style="thin">
        <color theme="4" tint="0.39997558519241921"/>
      </bottom>
      <diagonal/>
    </border>
    <border>
      <left/>
      <right/>
      <top style="thin">
        <color theme="4" tint="0.39997558519241921"/>
      </top>
      <bottom style="thin">
        <color theme="0" tint="-0.34998626667073579"/>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style="thin">
        <color theme="0" tint="-0.34998626667073579"/>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medium">
        <color indexed="64"/>
      </left>
      <right/>
      <top/>
      <bottom/>
      <diagonal/>
    </border>
    <border>
      <left/>
      <right style="medium">
        <color indexed="64"/>
      </right>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theme="0" tint="-0.499984740745262"/>
      </right>
      <top style="thin">
        <color theme="0" tint="-0.34998626667073579"/>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34998626667073579"/>
      </top>
      <bottom/>
      <diagonal/>
    </border>
    <border>
      <left style="thin">
        <color theme="0" tint="-0.499984740745262"/>
      </left>
      <right style="thin">
        <color theme="0" tint="-0.499984740745262"/>
      </right>
      <top/>
      <bottom style="thin">
        <color theme="0" tint="-0.34998626667073579"/>
      </bottom>
      <diagonal/>
    </border>
    <border>
      <left style="thin">
        <color theme="0" tint="-0.499984740745262"/>
      </left>
      <right style="thin">
        <color theme="0" tint="-0.499984740745262"/>
      </right>
      <top style="thin">
        <color theme="0" tint="-0.34998626667073579"/>
      </top>
      <bottom style="thin">
        <color theme="0" tint="-0.34998626667073579"/>
      </bottom>
      <diagonal/>
    </border>
    <border>
      <left/>
      <right style="thin">
        <color theme="0" tint="-0.499984740745262"/>
      </right>
      <top/>
      <bottom style="thin">
        <color theme="0" tint="-0.34998626667073579"/>
      </bottom>
      <diagonal/>
    </border>
    <border>
      <left style="thin">
        <color theme="0" tint="-0.499984740745262"/>
      </left>
      <right style="thin">
        <color theme="0" tint="-0.34998626667073579"/>
      </right>
      <top/>
      <bottom style="thin">
        <color theme="0" tint="-0.34998626667073579"/>
      </bottom>
      <diagonal/>
    </border>
    <border>
      <left style="thin">
        <color theme="0" tint="-0.499984740745262"/>
      </left>
      <right style="thin">
        <color theme="0" tint="-0.34998626667073579"/>
      </right>
      <top/>
      <bottom/>
      <diagonal/>
    </border>
    <border>
      <left style="thin">
        <color theme="0" tint="-0.499984740745262"/>
      </left>
      <right style="thin">
        <color theme="0" tint="-0.34998626667073579"/>
      </right>
      <top style="thin">
        <color theme="0" tint="-0.34998626667073579"/>
      </top>
      <bottom/>
      <diagonal/>
    </border>
    <border>
      <left style="thin">
        <color theme="0"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249977111117893"/>
      </bottom>
      <diagonal/>
    </border>
    <border>
      <left style="thin">
        <color theme="0" tint="-0.34998626667073579"/>
      </left>
      <right/>
      <top/>
      <bottom/>
      <diagonal/>
    </border>
    <border>
      <left/>
      <right/>
      <top style="thin">
        <color theme="0" tint="-0.499984740745262"/>
      </top>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s>
  <cellStyleXfs count="6">
    <xf numFmtId="0" fontId="0" fillId="0" borderId="0"/>
    <xf numFmtId="0" fontId="3" fillId="0" borderId="0"/>
    <xf numFmtId="0" fontId="3" fillId="0" borderId="0"/>
    <xf numFmtId="0" fontId="4" fillId="0" borderId="0" applyNumberFormat="0" applyFill="0" applyBorder="0" applyAlignment="0" applyProtection="0">
      <alignment vertical="top"/>
      <protection locked="0"/>
    </xf>
    <xf numFmtId="0" fontId="7" fillId="0" borderId="0"/>
    <xf numFmtId="0" fontId="11" fillId="0" borderId="0"/>
  </cellStyleXfs>
  <cellXfs count="338">
    <xf numFmtId="0" fontId="0" fillId="0" borderId="0" xfId="0"/>
    <xf numFmtId="0" fontId="1" fillId="0" borderId="0" xfId="0" applyFont="1"/>
    <xf numFmtId="0" fontId="0" fillId="0" borderId="0" xfId="0" applyAlignment="1">
      <alignment wrapText="1"/>
    </xf>
    <xf numFmtId="0" fontId="0" fillId="2" borderId="2" xfId="0" applyFill="1" applyBorder="1"/>
    <xf numFmtId="0" fontId="5" fillId="3" borderId="3" xfId="0" applyFont="1" applyFill="1" applyBorder="1" applyAlignment="1">
      <alignment horizontal="left" vertical="center" wrapText="1" readingOrder="1"/>
    </xf>
    <xf numFmtId="0" fontId="0" fillId="0" borderId="3" xfId="0" applyBorder="1"/>
    <xf numFmtId="0" fontId="0" fillId="0" borderId="4" xfId="0" applyBorder="1"/>
    <xf numFmtId="0" fontId="0" fillId="3" borderId="3" xfId="0" applyFill="1" applyBorder="1"/>
    <xf numFmtId="0" fontId="0" fillId="3" borderId="0" xfId="0" applyFill="1"/>
    <xf numFmtId="0" fontId="0" fillId="4" borderId="0" xfId="0" applyFill="1"/>
    <xf numFmtId="0" fontId="2" fillId="0" borderId="0" xfId="0" applyFont="1"/>
    <xf numFmtId="0" fontId="1" fillId="4" borderId="0" xfId="0" applyFont="1" applyFill="1"/>
    <xf numFmtId="0" fontId="0" fillId="5" borderId="0" xfId="0" applyFill="1"/>
    <xf numFmtId="0" fontId="0" fillId="0" borderId="5" xfId="0" applyBorder="1"/>
    <xf numFmtId="0" fontId="0" fillId="0" borderId="6" xfId="0" applyBorder="1"/>
    <xf numFmtId="0" fontId="9" fillId="0" borderId="0" xfId="0" applyFont="1"/>
    <xf numFmtId="0" fontId="8" fillId="3" borderId="3" xfId="0" applyFont="1" applyFill="1" applyBorder="1" applyAlignment="1">
      <alignment horizontal="left" vertical="top" textRotation="180" readingOrder="1"/>
    </xf>
    <xf numFmtId="0" fontId="8" fillId="3" borderId="4" xfId="0" applyFont="1" applyFill="1" applyBorder="1" applyAlignment="1">
      <alignment horizontal="left" vertical="top" textRotation="180" readingOrder="1"/>
    </xf>
    <xf numFmtId="0" fontId="9" fillId="0" borderId="0" xfId="0" applyFont="1" applyAlignment="1">
      <alignment vertical="top" textRotation="180"/>
    </xf>
    <xf numFmtId="0" fontId="9" fillId="2" borderId="0" xfId="0" applyFont="1" applyFill="1"/>
    <xf numFmtId="2" fontId="9" fillId="2" borderId="0" xfId="0" applyNumberFormat="1" applyFont="1" applyFill="1"/>
    <xf numFmtId="14" fontId="0" fillId="2" borderId="2" xfId="0" applyNumberFormat="1" applyFill="1" applyBorder="1"/>
    <xf numFmtId="0" fontId="0" fillId="0" borderId="0" xfId="0" applyAlignment="1">
      <alignment horizontal="center"/>
    </xf>
    <xf numFmtId="0" fontId="0" fillId="0" borderId="9" xfId="0" applyBorder="1"/>
    <xf numFmtId="14" fontId="0" fillId="0" borderId="0" xfId="0" applyNumberFormat="1"/>
    <xf numFmtId="2" fontId="0" fillId="0" borderId="0" xfId="0" applyNumberFormat="1"/>
    <xf numFmtId="0" fontId="10" fillId="0" borderId="0" xfId="0" applyFont="1"/>
    <xf numFmtId="0" fontId="7" fillId="4" borderId="0" xfId="4" applyFill="1"/>
    <xf numFmtId="0" fontId="7" fillId="0" borderId="0" xfId="0" applyFont="1"/>
    <xf numFmtId="0" fontId="6" fillId="3" borderId="3" xfId="0" applyFont="1" applyFill="1" applyBorder="1" applyAlignment="1">
      <alignment horizontal="left" vertical="center" readingOrder="1"/>
    </xf>
    <xf numFmtId="0" fontId="6" fillId="3" borderId="4" xfId="0" applyFont="1" applyFill="1" applyBorder="1" applyAlignment="1">
      <alignment horizontal="left" vertical="center" readingOrder="1"/>
    </xf>
    <xf numFmtId="0" fontId="13" fillId="0" borderId="8" xfId="0" applyFont="1" applyBorder="1" applyAlignment="1">
      <alignment wrapText="1"/>
    </xf>
    <xf numFmtId="0" fontId="14" fillId="3" borderId="3" xfId="0" applyFont="1" applyFill="1" applyBorder="1" applyAlignment="1">
      <alignment horizontal="left" vertical="center" wrapText="1" readingOrder="1"/>
    </xf>
    <xf numFmtId="0" fontId="15" fillId="3" borderId="3" xfId="0" applyFont="1" applyFill="1" applyBorder="1" applyAlignment="1">
      <alignment horizontal="left" vertical="center" wrapText="1" readingOrder="1"/>
    </xf>
    <xf numFmtId="0" fontId="15" fillId="0" borderId="0" xfId="0" applyFont="1"/>
    <xf numFmtId="0" fontId="0" fillId="0" borderId="0" xfId="0" quotePrefix="1"/>
    <xf numFmtId="0" fontId="5" fillId="3" borderId="10" xfId="0" applyFont="1" applyFill="1" applyBorder="1" applyAlignment="1">
      <alignment horizontal="left" vertical="center" wrapText="1" readingOrder="1"/>
    </xf>
    <xf numFmtId="0" fontId="0" fillId="0" borderId="10" xfId="0" applyBorder="1"/>
    <xf numFmtId="0" fontId="5" fillId="3" borderId="11" xfId="0" applyFont="1" applyFill="1" applyBorder="1" applyAlignment="1">
      <alignment horizontal="left" vertical="center" wrapText="1" readingOrder="1"/>
    </xf>
    <xf numFmtId="0" fontId="5" fillId="3" borderId="12" xfId="0" applyFont="1" applyFill="1" applyBorder="1" applyAlignment="1">
      <alignment horizontal="left" vertical="center" wrapText="1" readingOrder="1"/>
    </xf>
    <xf numFmtId="0" fontId="0" fillId="0" borderId="12" xfId="0" applyBorder="1"/>
    <xf numFmtId="0" fontId="5" fillId="0" borderId="0" xfId="0" applyFont="1" applyAlignment="1">
      <alignment horizontal="left" vertical="center" wrapText="1" readingOrder="1"/>
    </xf>
    <xf numFmtId="0" fontId="0" fillId="0" borderId="11" xfId="0" applyBorder="1"/>
    <xf numFmtId="0" fontId="1" fillId="0" borderId="9" xfId="0" applyFont="1" applyBorder="1"/>
    <xf numFmtId="0" fontId="1" fillId="0" borderId="11" xfId="0" applyFont="1" applyBorder="1"/>
    <xf numFmtId="0" fontId="13" fillId="0" borderId="0" xfId="0" applyFont="1" applyAlignment="1">
      <alignment wrapText="1"/>
    </xf>
    <xf numFmtId="0" fontId="13" fillId="0" borderId="8" xfId="0" applyFont="1" applyBorder="1" applyAlignment="1">
      <alignment horizontal="center" wrapText="1"/>
    </xf>
    <xf numFmtId="0" fontId="0" fillId="7" borderId="0" xfId="0" applyFill="1"/>
    <xf numFmtId="0" fontId="0" fillId="2" borderId="0" xfId="0" applyFill="1"/>
    <xf numFmtId="0" fontId="14" fillId="4" borderId="3" xfId="0" applyFont="1" applyFill="1" applyBorder="1" applyAlignment="1">
      <alignment horizontal="left" vertical="center" wrapText="1" readingOrder="1"/>
    </xf>
    <xf numFmtId="0" fontId="0" fillId="0" borderId="13" xfId="0" applyBorder="1"/>
    <xf numFmtId="0" fontId="5" fillId="3" borderId="14" xfId="0" applyFont="1" applyFill="1" applyBorder="1" applyAlignment="1">
      <alignment horizontal="left" vertical="center" wrapText="1" readingOrder="1"/>
    </xf>
    <xf numFmtId="0" fontId="0" fillId="0" borderId="15" xfId="0" applyBorder="1"/>
    <xf numFmtId="0" fontId="0" fillId="0" borderId="16" xfId="0" applyBorder="1"/>
    <xf numFmtId="0" fontId="5" fillId="3" borderId="16" xfId="0" applyFont="1" applyFill="1" applyBorder="1" applyAlignment="1">
      <alignment horizontal="left" vertical="center" wrapText="1" readingOrder="1"/>
    </xf>
    <xf numFmtId="0" fontId="5" fillId="3" borderId="15" xfId="0" applyFont="1" applyFill="1" applyBorder="1" applyAlignment="1">
      <alignment horizontal="left" vertical="center" wrapText="1" readingOrder="1"/>
    </xf>
    <xf numFmtId="0" fontId="5" fillId="3" borderId="0" xfId="0" applyFont="1" applyFill="1" applyAlignment="1">
      <alignment horizontal="left" vertical="center" readingOrder="1"/>
    </xf>
    <xf numFmtId="0" fontId="5" fillId="3" borderId="16" xfId="0" applyFont="1" applyFill="1" applyBorder="1" applyAlignment="1">
      <alignment horizontal="left" vertical="center" readingOrder="1"/>
    </xf>
    <xf numFmtId="0" fontId="5" fillId="3" borderId="14" xfId="0" applyFont="1" applyFill="1" applyBorder="1" applyAlignment="1">
      <alignment horizontal="left" vertical="center" readingOrder="1"/>
    </xf>
    <xf numFmtId="0" fontId="0" fillId="0" borderId="17" xfId="0" applyBorder="1"/>
    <xf numFmtId="2" fontId="0" fillId="0" borderId="5" xfId="0" applyNumberFormat="1" applyBorder="1"/>
    <xf numFmtId="164" fontId="0" fillId="6" borderId="0" xfId="0" applyNumberFormat="1" applyFill="1"/>
    <xf numFmtId="164" fontId="0" fillId="0" borderId="0" xfId="0" applyNumberFormat="1"/>
    <xf numFmtId="0" fontId="1" fillId="0" borderId="5" xfId="0" applyFont="1" applyBorder="1"/>
    <xf numFmtId="0" fontId="1" fillId="0" borderId="3" xfId="0" applyFont="1" applyBorder="1"/>
    <xf numFmtId="0" fontId="18" fillId="0" borderId="0" xfId="0" applyFont="1"/>
    <xf numFmtId="0" fontId="19" fillId="0" borderId="0" xfId="0" applyFont="1"/>
    <xf numFmtId="0" fontId="18" fillId="0" borderId="8" xfId="0" applyFont="1" applyBorder="1" applyAlignment="1">
      <alignment wrapText="1"/>
    </xf>
    <xf numFmtId="0" fontId="20" fillId="3" borderId="3" xfId="0" applyFont="1" applyFill="1" applyBorder="1" applyAlignment="1">
      <alignment horizontal="left" vertical="center" wrapText="1" readingOrder="1"/>
    </xf>
    <xf numFmtId="0" fontId="19" fillId="0" borderId="3" xfId="0" applyFont="1" applyBorder="1"/>
    <xf numFmtId="0" fontId="19" fillId="0" borderId="4" xfId="0" applyFont="1" applyBorder="1"/>
    <xf numFmtId="0" fontId="21" fillId="3" borderId="3" xfId="0" applyFont="1" applyFill="1" applyBorder="1" applyAlignment="1">
      <alignment horizontal="left" vertical="center" wrapText="1" readingOrder="1"/>
    </xf>
    <xf numFmtId="0" fontId="21" fillId="0" borderId="0" xfId="0" applyFont="1"/>
    <xf numFmtId="0" fontId="19" fillId="0" borderId="0" xfId="0" quotePrefix="1" applyFont="1"/>
    <xf numFmtId="0" fontId="22" fillId="0" borderId="0" xfId="0" applyFont="1"/>
    <xf numFmtId="0" fontId="24" fillId="4" borderId="0" xfId="0" applyFont="1" applyFill="1"/>
    <xf numFmtId="0" fontId="0" fillId="4" borderId="18" xfId="0" applyFill="1" applyBorder="1"/>
    <xf numFmtId="0" fontId="25" fillId="4" borderId="0" xfId="0" applyFont="1" applyFill="1" applyAlignment="1">
      <alignment horizontal="center"/>
    </xf>
    <xf numFmtId="0" fontId="26" fillId="0" borderId="0" xfId="0" applyFont="1" applyAlignment="1">
      <alignment horizontal="center" wrapText="1"/>
    </xf>
    <xf numFmtId="0" fontId="26" fillId="0" borderId="0" xfId="0" applyFont="1" applyAlignment="1">
      <alignment horizontal="center" vertical="center"/>
    </xf>
    <xf numFmtId="2" fontId="27" fillId="4" borderId="19" xfId="0" applyNumberFormat="1" applyFont="1" applyFill="1" applyBorder="1" applyAlignment="1">
      <alignment horizontal="center" vertical="center"/>
    </xf>
    <xf numFmtId="0" fontId="9" fillId="4" borderId="0" xfId="0" applyFont="1" applyFill="1"/>
    <xf numFmtId="0" fontId="26" fillId="0" borderId="0" xfId="0" applyFont="1" applyAlignment="1">
      <alignment horizontal="center" vertical="center" wrapText="1"/>
    </xf>
    <xf numFmtId="0" fontId="28" fillId="8" borderId="0" xfId="0" applyFont="1" applyFill="1" applyAlignment="1">
      <alignment horizontal="center" vertical="center" wrapText="1"/>
    </xf>
    <xf numFmtId="0" fontId="29" fillId="4" borderId="0" xfId="0" applyFont="1" applyFill="1"/>
    <xf numFmtId="0" fontId="24" fillId="7" borderId="19" xfId="0" applyFont="1" applyFill="1" applyBorder="1" applyAlignment="1">
      <alignment horizontal="center"/>
    </xf>
    <xf numFmtId="0" fontId="5" fillId="7" borderId="0" xfId="0" applyFont="1" applyFill="1" applyAlignment="1">
      <alignment vertical="center" wrapText="1" readingOrder="1"/>
    </xf>
    <xf numFmtId="0" fontId="14" fillId="0" borderId="0" xfId="0" applyFont="1"/>
    <xf numFmtId="0" fontId="5" fillId="0" borderId="0" xfId="0" applyFont="1"/>
    <xf numFmtId="2" fontId="30" fillId="4" borderId="0" xfId="0" applyNumberFormat="1" applyFont="1" applyFill="1" applyAlignment="1">
      <alignment horizontal="center" vertical="center"/>
    </xf>
    <xf numFmtId="0" fontId="31" fillId="4" borderId="0" xfId="0" applyFont="1" applyFill="1"/>
    <xf numFmtId="0" fontId="23" fillId="9" borderId="20" xfId="0" applyFont="1" applyFill="1" applyBorder="1" applyAlignment="1">
      <alignment horizontal="left" vertical="center" readingOrder="1"/>
    </xf>
    <xf numFmtId="0" fontId="23" fillId="9" borderId="4" xfId="0" applyFont="1" applyFill="1" applyBorder="1" applyAlignment="1">
      <alignment horizontal="left" vertical="center" readingOrder="1"/>
    </xf>
    <xf numFmtId="0" fontId="23" fillId="9" borderId="21" xfId="0" applyFont="1" applyFill="1" applyBorder="1" applyAlignment="1">
      <alignment horizontal="left" vertical="center" readingOrder="1"/>
    </xf>
    <xf numFmtId="0" fontId="32" fillId="0" borderId="0" xfId="0" applyFont="1" applyAlignment="1">
      <alignment wrapText="1"/>
    </xf>
    <xf numFmtId="0" fontId="5" fillId="10" borderId="0" xfId="0" applyFont="1" applyFill="1"/>
    <xf numFmtId="0" fontId="5" fillId="11" borderId="0" xfId="0" applyFont="1" applyFill="1"/>
    <xf numFmtId="0" fontId="33" fillId="0" borderId="0" xfId="0" applyFont="1"/>
    <xf numFmtId="0" fontId="33" fillId="0" borderId="8" xfId="0" applyFont="1" applyBorder="1" applyAlignment="1">
      <alignment wrapText="1"/>
    </xf>
    <xf numFmtId="0" fontId="6" fillId="3" borderId="3" xfId="0" applyFont="1" applyFill="1" applyBorder="1" applyAlignment="1">
      <alignment horizontal="left" vertical="center" wrapText="1" readingOrder="1"/>
    </xf>
    <xf numFmtId="0" fontId="7" fillId="0" borderId="3" xfId="0" applyFont="1" applyBorder="1"/>
    <xf numFmtId="0" fontId="7" fillId="0" borderId="4" xfId="0" applyFont="1" applyBorder="1"/>
    <xf numFmtId="0" fontId="12" fillId="3" borderId="3" xfId="0" applyFont="1" applyFill="1" applyBorder="1" applyAlignment="1">
      <alignment horizontal="left" vertical="center" wrapText="1" readingOrder="1"/>
    </xf>
    <xf numFmtId="0" fontId="12" fillId="0" borderId="0" xfId="0" applyFont="1"/>
    <xf numFmtId="0" fontId="7" fillId="0" borderId="0" xfId="0" quotePrefix="1" applyFont="1"/>
    <xf numFmtId="0" fontId="0" fillId="0" borderId="2" xfId="0" applyBorder="1"/>
    <xf numFmtId="0" fontId="0" fillId="0" borderId="2" xfId="0" applyBorder="1" applyAlignment="1">
      <alignment horizontal="center"/>
    </xf>
    <xf numFmtId="0" fontId="24" fillId="7" borderId="19" xfId="0" quotePrefix="1" applyFont="1" applyFill="1" applyBorder="1" applyAlignment="1">
      <alignment horizontal="center"/>
    </xf>
    <xf numFmtId="0" fontId="0" fillId="7" borderId="0" xfId="0" applyFill="1" applyAlignment="1">
      <alignment horizontal="center" vertical="center"/>
    </xf>
    <xf numFmtId="0" fontId="1" fillId="12" borderId="0" xfId="0" applyFont="1" applyFill="1"/>
    <xf numFmtId="0" fontId="0" fillId="12" borderId="0" xfId="0" applyFill="1"/>
    <xf numFmtId="0" fontId="34" fillId="0" borderId="22" xfId="0" applyFont="1" applyBorder="1" applyAlignment="1">
      <alignment vertical="top"/>
    </xf>
    <xf numFmtId="0" fontId="11" fillId="0" borderId="0" xfId="0" applyFont="1" applyAlignment="1">
      <alignment horizontal="right" vertical="top"/>
    </xf>
    <xf numFmtId="0" fontId="11" fillId="0" borderId="0" xfId="0" applyFont="1" applyAlignment="1">
      <alignment vertical="top"/>
    </xf>
    <xf numFmtId="0" fontId="34" fillId="0" borderId="0" xfId="0" applyFont="1"/>
    <xf numFmtId="0" fontId="34" fillId="0" borderId="0" xfId="0" applyFont="1" applyAlignment="1">
      <alignment horizontal="right"/>
    </xf>
    <xf numFmtId="0" fontId="34" fillId="0" borderId="23" xfId="0" applyFont="1" applyBorder="1"/>
    <xf numFmtId="0" fontId="11" fillId="0" borderId="0" xfId="0" applyFont="1"/>
    <xf numFmtId="0" fontId="11" fillId="0" borderId="0" xfId="0" applyFont="1" applyAlignment="1">
      <alignment horizontal="right"/>
    </xf>
    <xf numFmtId="0" fontId="35" fillId="0" borderId="0" xfId="0" applyFont="1"/>
    <xf numFmtId="0" fontId="8" fillId="3" borderId="3" xfId="0" applyFont="1" applyFill="1" applyBorder="1" applyAlignment="1">
      <alignment horizontal="left" vertical="top" readingOrder="1"/>
    </xf>
    <xf numFmtId="0" fontId="8" fillId="3" borderId="4" xfId="0" applyFont="1" applyFill="1" applyBorder="1" applyAlignment="1">
      <alignment horizontal="left" vertical="top" readingOrder="1"/>
    </xf>
    <xf numFmtId="0" fontId="35" fillId="13" borderId="25" xfId="0" applyFont="1" applyFill="1" applyBorder="1" applyAlignment="1">
      <alignment horizontal="center"/>
    </xf>
    <xf numFmtId="0" fontId="35" fillId="13" borderId="26" xfId="0" applyFont="1" applyFill="1" applyBorder="1" applyAlignment="1">
      <alignment horizontal="center"/>
    </xf>
    <xf numFmtId="0" fontId="35" fillId="13" borderId="27" xfId="0" applyFont="1" applyFill="1" applyBorder="1" applyAlignment="1">
      <alignment horizontal="center"/>
    </xf>
    <xf numFmtId="0" fontId="35" fillId="13" borderId="28" xfId="0" applyFont="1" applyFill="1" applyBorder="1" applyAlignment="1">
      <alignment horizontal="center"/>
    </xf>
    <xf numFmtId="0" fontId="35" fillId="13" borderId="29" xfId="0" applyFont="1" applyFill="1" applyBorder="1" applyAlignment="1">
      <alignment horizontal="center"/>
    </xf>
    <xf numFmtId="0" fontId="35" fillId="13" borderId="30" xfId="0" applyFont="1" applyFill="1" applyBorder="1" applyAlignment="1">
      <alignment horizontal="center"/>
    </xf>
    <xf numFmtId="0" fontId="35" fillId="13" borderId="31" xfId="0" applyFont="1" applyFill="1" applyBorder="1" applyAlignment="1">
      <alignment horizontal="center"/>
    </xf>
    <xf numFmtId="0" fontId="35" fillId="13" borderId="32" xfId="0" applyFont="1" applyFill="1" applyBorder="1" applyAlignment="1">
      <alignment horizontal="center"/>
    </xf>
    <xf numFmtId="0" fontId="35" fillId="13" borderId="33" xfId="0" applyFont="1" applyFill="1" applyBorder="1" applyAlignment="1">
      <alignment horizontal="center"/>
    </xf>
    <xf numFmtId="2" fontId="11" fillId="0" borderId="0" xfId="0" applyNumberFormat="1" applyFont="1"/>
    <xf numFmtId="49" fontId="11" fillId="0" borderId="0" xfId="0" applyNumberFormat="1" applyFont="1" applyAlignment="1">
      <alignment vertical="top"/>
    </xf>
    <xf numFmtId="49" fontId="34" fillId="0" borderId="0" xfId="0" applyNumberFormat="1" applyFont="1"/>
    <xf numFmtId="49" fontId="11" fillId="0" borderId="0" xfId="0" applyNumberFormat="1" applyFont="1"/>
    <xf numFmtId="49" fontId="11" fillId="0" borderId="24" xfId="0" applyNumberFormat="1" applyFont="1" applyBorder="1"/>
    <xf numFmtId="14" fontId="24" fillId="7" borderId="19" xfId="0" quotePrefix="1" applyNumberFormat="1" applyFont="1" applyFill="1" applyBorder="1" applyAlignment="1">
      <alignment horizontal="center"/>
    </xf>
    <xf numFmtId="0" fontId="33" fillId="0" borderId="0" xfId="0" applyFont="1" applyAlignment="1">
      <alignment textRotation="90" wrapText="1"/>
    </xf>
    <xf numFmtId="0" fontId="0" fillId="14" borderId="0" xfId="0" applyFill="1"/>
    <xf numFmtId="0" fontId="37" fillId="0" borderId="0" xfId="0" applyFont="1"/>
    <xf numFmtId="0" fontId="36" fillId="0" borderId="0" xfId="0" applyFont="1"/>
    <xf numFmtId="0" fontId="1" fillId="0" borderId="0" xfId="0" applyFont="1" applyAlignment="1">
      <alignment textRotation="90" wrapText="1"/>
    </xf>
    <xf numFmtId="0" fontId="29" fillId="0" borderId="0" xfId="0" applyFont="1" applyAlignment="1">
      <alignment horizontal="justify" vertical="center"/>
    </xf>
    <xf numFmtId="0" fontId="39" fillId="0" borderId="0" xfId="0" applyFont="1"/>
    <xf numFmtId="0" fontId="40" fillId="0" borderId="0" xfId="0" applyFont="1"/>
    <xf numFmtId="0" fontId="41" fillId="0" borderId="0" xfId="0" applyFont="1"/>
    <xf numFmtId="0" fontId="42" fillId="0" borderId="0" xfId="0" applyFont="1"/>
    <xf numFmtId="0" fontId="29" fillId="0" borderId="0" xfId="0" applyFont="1"/>
    <xf numFmtId="0" fontId="43" fillId="0" borderId="0" xfId="0" applyFont="1"/>
    <xf numFmtId="49" fontId="1" fillId="0" borderId="0" xfId="0" applyNumberFormat="1" applyFont="1" applyAlignment="1">
      <alignment textRotation="90" wrapText="1"/>
    </xf>
    <xf numFmtId="49" fontId="39" fillId="0" borderId="0" xfId="0" applyNumberFormat="1" applyFont="1"/>
    <xf numFmtId="49" fontId="0" fillId="0" borderId="0" xfId="0" applyNumberFormat="1"/>
    <xf numFmtId="49" fontId="41" fillId="0" borderId="0" xfId="0" applyNumberFormat="1" applyFont="1"/>
    <xf numFmtId="49" fontId="40" fillId="0" borderId="0" xfId="0" applyNumberFormat="1" applyFont="1"/>
    <xf numFmtId="0" fontId="44" fillId="3" borderId="3" xfId="0" applyFont="1" applyFill="1" applyBorder="1" applyAlignment="1">
      <alignment horizontal="left" vertical="center" wrapText="1" readingOrder="1"/>
    </xf>
    <xf numFmtId="0" fontId="44" fillId="0" borderId="0" xfId="0" applyFont="1"/>
    <xf numFmtId="0" fontId="1" fillId="14" borderId="0" xfId="0" applyFont="1" applyFill="1"/>
    <xf numFmtId="0" fontId="5" fillId="3" borderId="3" xfId="0" applyFont="1" applyFill="1" applyBorder="1" applyAlignment="1">
      <alignment horizontal="right" vertical="center" wrapText="1" readingOrder="1"/>
    </xf>
    <xf numFmtId="0" fontId="0" fillId="0" borderId="1" xfId="0" applyBorder="1"/>
    <xf numFmtId="0" fontId="12" fillId="3" borderId="3" xfId="0" applyFont="1" applyFill="1" applyBorder="1" applyAlignment="1">
      <alignment horizontal="left" vertical="center" readingOrder="1"/>
    </xf>
    <xf numFmtId="0" fontId="12" fillId="3" borderId="3" xfId="0" applyFont="1" applyFill="1" applyBorder="1" applyAlignment="1">
      <alignment wrapText="1" readingOrder="1"/>
    </xf>
    <xf numFmtId="0" fontId="1" fillId="14" borderId="1" xfId="0" applyFont="1" applyFill="1" applyBorder="1" applyAlignment="1">
      <alignment horizontal="right"/>
    </xf>
    <xf numFmtId="0" fontId="5" fillId="3" borderId="34" xfId="0" applyFont="1" applyFill="1" applyBorder="1" applyAlignment="1">
      <alignment horizontal="center" vertical="center" wrapText="1" readingOrder="1"/>
    </xf>
    <xf numFmtId="0" fontId="0" fillId="0" borderId="35" xfId="0" applyBorder="1"/>
    <xf numFmtId="0" fontId="1" fillId="14" borderId="35" xfId="0" applyFont="1" applyFill="1" applyBorder="1" applyAlignment="1">
      <alignment horizontal="right"/>
    </xf>
    <xf numFmtId="0" fontId="0" fillId="5" borderId="35" xfId="0" applyFill="1" applyBorder="1"/>
    <xf numFmtId="0" fontId="5" fillId="3" borderId="35" xfId="0" applyFont="1" applyFill="1" applyBorder="1" applyAlignment="1">
      <alignment horizontal="center" vertical="center" wrapText="1" readingOrder="1"/>
    </xf>
    <xf numFmtId="0" fontId="0" fillId="14" borderId="35" xfId="0" applyFill="1" applyBorder="1"/>
    <xf numFmtId="0" fontId="5" fillId="14" borderId="35" xfId="0" applyFont="1" applyFill="1" applyBorder="1" applyAlignment="1">
      <alignment horizontal="center" vertical="center" wrapText="1" readingOrder="1"/>
    </xf>
    <xf numFmtId="0" fontId="0" fillId="0" borderId="0" xfId="0" applyAlignment="1">
      <alignment horizontal="right"/>
    </xf>
    <xf numFmtId="0" fontId="5" fillId="3" borderId="37" xfId="0" applyFont="1" applyFill="1" applyBorder="1" applyAlignment="1">
      <alignment horizontal="center" vertical="center" wrapText="1" readingOrder="1"/>
    </xf>
    <xf numFmtId="0" fontId="0" fillId="0" borderId="37" xfId="0" applyBorder="1"/>
    <xf numFmtId="0" fontId="0" fillId="14" borderId="37" xfId="0" applyFill="1" applyBorder="1"/>
    <xf numFmtId="0" fontId="5" fillId="3" borderId="38" xfId="0" applyFont="1" applyFill="1" applyBorder="1" applyAlignment="1">
      <alignment horizontal="center" vertical="center" wrapText="1" readingOrder="1"/>
    </xf>
    <xf numFmtId="0" fontId="0" fillId="0" borderId="38" xfId="0" applyBorder="1"/>
    <xf numFmtId="0" fontId="0" fillId="14" borderId="38" xfId="0" applyFill="1" applyBorder="1"/>
    <xf numFmtId="0" fontId="5" fillId="14" borderId="37" xfId="0" applyFont="1" applyFill="1" applyBorder="1" applyAlignment="1">
      <alignment horizontal="center" vertical="center" wrapText="1" readingOrder="1"/>
    </xf>
    <xf numFmtId="0" fontId="5" fillId="14" borderId="38" xfId="0" applyFont="1" applyFill="1" applyBorder="1" applyAlignment="1">
      <alignment horizontal="center" vertical="center" wrapText="1" readingOrder="1"/>
    </xf>
    <xf numFmtId="0" fontId="5" fillId="3" borderId="39" xfId="0" applyFont="1" applyFill="1" applyBorder="1" applyAlignment="1">
      <alignment horizontal="center" vertical="center" wrapText="1" readingOrder="1"/>
    </xf>
    <xf numFmtId="0" fontId="12" fillId="0" borderId="6" xfId="0" applyFont="1" applyBorder="1"/>
    <xf numFmtId="0" fontId="0" fillId="0" borderId="40" xfId="0" applyBorder="1"/>
    <xf numFmtId="0" fontId="0" fillId="0" borderId="42" xfId="0" applyBorder="1"/>
    <xf numFmtId="0" fontId="1" fillId="14" borderId="42" xfId="0" applyFont="1" applyFill="1" applyBorder="1" applyAlignment="1">
      <alignment horizontal="right"/>
    </xf>
    <xf numFmtId="0" fontId="0" fillId="5" borderId="42" xfId="0" applyFill="1" applyBorder="1"/>
    <xf numFmtId="0" fontId="5" fillId="3" borderId="42" xfId="0" applyFont="1" applyFill="1" applyBorder="1" applyAlignment="1">
      <alignment horizontal="center" vertical="center" wrapText="1" readingOrder="1"/>
    </xf>
    <xf numFmtId="0" fontId="0" fillId="0" borderId="43" xfId="0" applyBorder="1"/>
    <xf numFmtId="0" fontId="0" fillId="14" borderId="43" xfId="0" applyFill="1" applyBorder="1"/>
    <xf numFmtId="0" fontId="0" fillId="14" borderId="42" xfId="0" applyFill="1" applyBorder="1"/>
    <xf numFmtId="0" fontId="5" fillId="3" borderId="41" xfId="0" applyFont="1" applyFill="1" applyBorder="1" applyAlignment="1">
      <alignment horizontal="center" vertical="center" wrapText="1" readingOrder="1"/>
    </xf>
    <xf numFmtId="0" fontId="5" fillId="14" borderId="41" xfId="0" applyFont="1" applyFill="1" applyBorder="1" applyAlignment="1">
      <alignment horizontal="center" vertical="center" wrapText="1" readingOrder="1"/>
    </xf>
    <xf numFmtId="0" fontId="5" fillId="3" borderId="44" xfId="0" applyFont="1" applyFill="1" applyBorder="1" applyAlignment="1">
      <alignment horizontal="center" vertical="center" wrapText="1" readingOrder="1"/>
    </xf>
    <xf numFmtId="0" fontId="5" fillId="14" borderId="43" xfId="0" applyFont="1" applyFill="1" applyBorder="1" applyAlignment="1">
      <alignment horizontal="center" vertical="center" wrapText="1" readingOrder="1"/>
    </xf>
    <xf numFmtId="0" fontId="5" fillId="14" borderId="42" xfId="0" applyFont="1" applyFill="1" applyBorder="1" applyAlignment="1">
      <alignment horizontal="center" vertical="center" wrapText="1" readingOrder="1"/>
    </xf>
    <xf numFmtId="0" fontId="0" fillId="14" borderId="42" xfId="0" applyFill="1" applyBorder="1" applyAlignment="1">
      <alignment horizontal="center"/>
    </xf>
    <xf numFmtId="0" fontId="0" fillId="14" borderId="41" xfId="0" applyFill="1" applyBorder="1" applyAlignment="1">
      <alignment horizontal="center"/>
    </xf>
    <xf numFmtId="0" fontId="0" fillId="0" borderId="46" xfId="0" applyBorder="1"/>
    <xf numFmtId="0" fontId="0" fillId="5" borderId="46" xfId="0" applyFill="1" applyBorder="1"/>
    <xf numFmtId="0" fontId="0" fillId="0" borderId="47" xfId="0" applyBorder="1"/>
    <xf numFmtId="0" fontId="0" fillId="0" borderId="45" xfId="0" applyBorder="1"/>
    <xf numFmtId="0" fontId="0" fillId="0" borderId="19" xfId="0" applyBorder="1"/>
    <xf numFmtId="0" fontId="0" fillId="14" borderId="45" xfId="0" applyFill="1" applyBorder="1"/>
    <xf numFmtId="0" fontId="0" fillId="14" borderId="46" xfId="0" applyFill="1" applyBorder="1"/>
    <xf numFmtId="0" fontId="0" fillId="14" borderId="47" xfId="0" applyFill="1" applyBorder="1"/>
    <xf numFmtId="0" fontId="0" fillId="14" borderId="47" xfId="0" applyFill="1" applyBorder="1" applyAlignment="1">
      <alignment horizontal="center"/>
    </xf>
    <xf numFmtId="0" fontId="0" fillId="14" borderId="46" xfId="0" applyFill="1" applyBorder="1" applyAlignment="1">
      <alignment horizontal="center"/>
    </xf>
    <xf numFmtId="0" fontId="0" fillId="14" borderId="45" xfId="0" applyFill="1" applyBorder="1" applyAlignment="1">
      <alignment horizontal="center"/>
    </xf>
    <xf numFmtId="0" fontId="0" fillId="0" borderId="18" xfId="0" applyBorder="1"/>
    <xf numFmtId="0" fontId="0" fillId="5" borderId="18" xfId="0" applyFill="1" applyBorder="1"/>
    <xf numFmtId="0" fontId="0" fillId="0" borderId="49" xfId="0" applyBorder="1"/>
    <xf numFmtId="0" fontId="0" fillId="0" borderId="48" xfId="0" applyBorder="1"/>
    <xf numFmtId="0" fontId="0" fillId="0" borderId="21" xfId="0" applyBorder="1"/>
    <xf numFmtId="0" fontId="0" fillId="0" borderId="50" xfId="0" applyBorder="1"/>
    <xf numFmtId="0" fontId="0" fillId="14" borderId="18" xfId="0" applyFill="1" applyBorder="1"/>
    <xf numFmtId="0" fontId="0" fillId="14" borderId="49" xfId="0" applyFill="1" applyBorder="1"/>
    <xf numFmtId="0" fontId="0" fillId="14" borderId="49" xfId="0" applyFill="1" applyBorder="1" applyAlignment="1">
      <alignment horizontal="center"/>
    </xf>
    <xf numFmtId="0" fontId="0" fillId="14" borderId="18" xfId="0" applyFill="1" applyBorder="1" applyAlignment="1">
      <alignment horizontal="center"/>
    </xf>
    <xf numFmtId="0" fontId="0" fillId="14" borderId="48" xfId="0" applyFill="1" applyBorder="1" applyAlignment="1">
      <alignment horizontal="center"/>
    </xf>
    <xf numFmtId="0" fontId="0" fillId="0" borderId="51" xfId="0" applyBorder="1"/>
    <xf numFmtId="0" fontId="1" fillId="14" borderId="46" xfId="0" applyFont="1" applyFill="1" applyBorder="1"/>
    <xf numFmtId="0" fontId="0" fillId="14" borderId="48" xfId="0" applyFill="1" applyBorder="1"/>
    <xf numFmtId="0" fontId="1" fillId="0" borderId="35" xfId="0" applyFont="1" applyBorder="1" applyAlignment="1">
      <alignment wrapText="1"/>
    </xf>
    <xf numFmtId="0" fontId="1" fillId="0" borderId="36" xfId="0" applyFont="1" applyBorder="1" applyAlignment="1">
      <alignment wrapText="1"/>
    </xf>
    <xf numFmtId="0" fontId="1" fillId="0" borderId="42" xfId="0" applyFont="1" applyBorder="1" applyAlignment="1">
      <alignment wrapText="1"/>
    </xf>
    <xf numFmtId="0" fontId="1" fillId="0" borderId="46" xfId="0" applyFont="1" applyBorder="1" applyAlignment="1">
      <alignment wrapText="1"/>
    </xf>
    <xf numFmtId="0" fontId="1" fillId="0" borderId="18" xfId="0" applyFont="1" applyBorder="1" applyAlignment="1">
      <alignment wrapText="1"/>
    </xf>
    <xf numFmtId="0" fontId="45" fillId="3" borderId="3" xfId="0" applyFont="1" applyFill="1" applyBorder="1" applyAlignment="1">
      <alignment horizontal="left" vertical="center" textRotation="90" readingOrder="1"/>
    </xf>
    <xf numFmtId="0" fontId="45" fillId="3" borderId="3" xfId="0" applyFont="1" applyFill="1" applyBorder="1" applyAlignment="1">
      <alignment horizontal="left" vertical="center" textRotation="90" wrapText="1" readingOrder="1"/>
    </xf>
    <xf numFmtId="0" fontId="33" fillId="14" borderId="0" xfId="0" applyFont="1" applyFill="1" applyAlignment="1">
      <alignment textRotation="90" wrapText="1"/>
    </xf>
    <xf numFmtId="2" fontId="45" fillId="3" borderId="3" xfId="0" applyNumberFormat="1" applyFont="1" applyFill="1" applyBorder="1" applyAlignment="1">
      <alignment horizontal="left" vertical="center" textRotation="90" readingOrder="1"/>
    </xf>
    <xf numFmtId="0" fontId="0" fillId="15" borderId="46" xfId="0" applyFill="1" applyBorder="1"/>
    <xf numFmtId="0" fontId="6" fillId="0" borderId="0" xfId="0" applyFont="1" applyAlignment="1">
      <alignment vertical="center" wrapText="1" readingOrder="1"/>
    </xf>
    <xf numFmtId="1" fontId="0" fillId="0" borderId="0" xfId="0" applyNumberFormat="1" applyAlignment="1">
      <alignment horizontal="center"/>
    </xf>
    <xf numFmtId="0" fontId="0" fillId="16" borderId="0" xfId="0" applyFill="1"/>
    <xf numFmtId="0" fontId="5" fillId="17" borderId="0" xfId="0" applyFont="1" applyFill="1"/>
    <xf numFmtId="0" fontId="19" fillId="16" borderId="0" xfId="0" applyFont="1" applyFill="1"/>
    <xf numFmtId="0" fontId="19" fillId="16" borderId="0" xfId="0" quotePrefix="1" applyFont="1" applyFill="1"/>
    <xf numFmtId="0" fontId="19" fillId="16" borderId="4" xfId="0" applyFont="1" applyFill="1" applyBorder="1"/>
    <xf numFmtId="0" fontId="7" fillId="16" borderId="0" xfId="0" applyFont="1" applyFill="1"/>
    <xf numFmtId="0" fontId="7" fillId="16" borderId="0" xfId="0" quotePrefix="1" applyFont="1" applyFill="1"/>
    <xf numFmtId="0" fontId="5" fillId="16" borderId="3" xfId="0" applyFont="1" applyFill="1" applyBorder="1" applyAlignment="1">
      <alignment horizontal="left" vertical="center" wrapText="1" readingOrder="1"/>
    </xf>
    <xf numFmtId="164" fontId="0" fillId="16" borderId="0" xfId="0" applyNumberFormat="1" applyFill="1"/>
    <xf numFmtId="0" fontId="14" fillId="18" borderId="3" xfId="0" applyFont="1" applyFill="1" applyBorder="1" applyAlignment="1">
      <alignment horizontal="left" vertical="center" wrapText="1" readingOrder="1"/>
    </xf>
    <xf numFmtId="0" fontId="0" fillId="16" borderId="0" xfId="0" quotePrefix="1" applyFill="1"/>
    <xf numFmtId="0" fontId="0" fillId="7" borderId="0" xfId="0" quotePrefix="1" applyFill="1"/>
    <xf numFmtId="0" fontId="5" fillId="7" borderId="0" xfId="0" applyFont="1" applyFill="1"/>
    <xf numFmtId="0" fontId="10" fillId="16" borderId="0" xfId="0" applyFont="1" applyFill="1"/>
    <xf numFmtId="0" fontId="10" fillId="16" borderId="2" xfId="0" applyFont="1" applyFill="1" applyBorder="1"/>
    <xf numFmtId="0" fontId="0" fillId="15" borderId="47" xfId="0" applyFill="1" applyBorder="1"/>
    <xf numFmtId="0" fontId="0" fillId="15" borderId="18" xfId="0" applyFill="1" applyBorder="1"/>
    <xf numFmtId="0" fontId="46" fillId="3" borderId="3" xfId="0" applyFont="1" applyFill="1" applyBorder="1" applyAlignment="1">
      <alignment horizontal="right" vertical="center" readingOrder="1"/>
    </xf>
    <xf numFmtId="0" fontId="11" fillId="0" borderId="52" xfId="0" applyFont="1" applyBorder="1"/>
    <xf numFmtId="0" fontId="13" fillId="0" borderId="0" xfId="0" applyFont="1" applyAlignment="1">
      <alignment horizontal="center" wrapText="1"/>
    </xf>
    <xf numFmtId="0" fontId="5" fillId="3" borderId="53" xfId="0" applyFont="1" applyFill="1" applyBorder="1" applyAlignment="1">
      <alignment horizontal="left" vertical="center" wrapText="1" readingOrder="1"/>
    </xf>
    <xf numFmtId="0" fontId="0" fillId="0" borderId="54" xfId="0" applyBorder="1" applyAlignment="1">
      <alignment horizontal="center"/>
    </xf>
    <xf numFmtId="0" fontId="11" fillId="0" borderId="55" xfId="0" applyFont="1" applyBorder="1"/>
    <xf numFmtId="0" fontId="11" fillId="0" borderId="56" xfId="0" applyFont="1" applyBorder="1"/>
    <xf numFmtId="164" fontId="0" fillId="16" borderId="56" xfId="0" applyNumberFormat="1" applyFill="1" applyBorder="1"/>
    <xf numFmtId="164" fontId="0" fillId="16" borderId="57" xfId="0" applyNumberFormat="1" applyFill="1" applyBorder="1"/>
    <xf numFmtId="164" fontId="0" fillId="16" borderId="58" xfId="0" applyNumberFormat="1" applyFill="1" applyBorder="1"/>
    <xf numFmtId="164" fontId="0" fillId="16" borderId="59" xfId="0" applyNumberFormat="1" applyFill="1" applyBorder="1"/>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7" borderId="57" xfId="0" applyFill="1" applyBorder="1"/>
    <xf numFmtId="0" fontId="0" fillId="7" borderId="8" xfId="0" applyFill="1" applyBorder="1"/>
    <xf numFmtId="0" fontId="0" fillId="15" borderId="46" xfId="0" applyFill="1" applyBorder="1" applyAlignment="1">
      <alignment horizontal="center"/>
    </xf>
    <xf numFmtId="49" fontId="39" fillId="16" borderId="0" xfId="0" applyNumberFormat="1" applyFont="1" applyFill="1"/>
    <xf numFmtId="0" fontId="29" fillId="16" borderId="0" xfId="0" applyFont="1" applyFill="1" applyAlignment="1">
      <alignment horizontal="justify" vertical="center"/>
    </xf>
    <xf numFmtId="0" fontId="1" fillId="0" borderId="0" xfId="0" applyFont="1" applyAlignment="1">
      <alignment wrapText="1"/>
    </xf>
    <xf numFmtId="0" fontId="0" fillId="16" borderId="18" xfId="0" applyFill="1" applyBorder="1"/>
    <xf numFmtId="0" fontId="0" fillId="16" borderId="46" xfId="0" applyFill="1" applyBorder="1"/>
    <xf numFmtId="0" fontId="5" fillId="16" borderId="35" xfId="0" applyFont="1" applyFill="1" applyBorder="1" applyAlignment="1">
      <alignment horizontal="center" vertical="center" wrapText="1" readingOrder="1"/>
    </xf>
    <xf numFmtId="0" fontId="5" fillId="16" borderId="38" xfId="0" applyFont="1" applyFill="1" applyBorder="1" applyAlignment="1">
      <alignment horizontal="center" vertical="center" wrapText="1" readingOrder="1"/>
    </xf>
    <xf numFmtId="0" fontId="1" fillId="16" borderId="35" xfId="0" applyFont="1" applyFill="1" applyBorder="1" applyAlignment="1">
      <alignment horizontal="right"/>
    </xf>
    <xf numFmtId="0" fontId="1" fillId="16" borderId="42" xfId="0" applyFont="1" applyFill="1" applyBorder="1" applyAlignment="1">
      <alignment horizontal="right"/>
    </xf>
    <xf numFmtId="0" fontId="1" fillId="16" borderId="46" xfId="0" applyFont="1" applyFill="1" applyBorder="1"/>
    <xf numFmtId="0" fontId="0" fillId="16" borderId="47" xfId="0" applyFill="1" applyBorder="1"/>
    <xf numFmtId="0" fontId="0" fillId="16" borderId="46" xfId="0" applyFill="1" applyBorder="1" applyAlignment="1">
      <alignment horizontal="center"/>
    </xf>
    <xf numFmtId="0" fontId="0" fillId="16" borderId="45" xfId="0" applyFill="1" applyBorder="1" applyAlignment="1">
      <alignment horizontal="center"/>
    </xf>
    <xf numFmtId="0" fontId="0" fillId="16" borderId="18" xfId="0" applyFill="1" applyBorder="1" applyAlignment="1">
      <alignment horizontal="center"/>
    </xf>
    <xf numFmtId="0" fontId="0" fillId="16" borderId="49" xfId="0" applyFill="1" applyBorder="1" applyAlignment="1">
      <alignment horizontal="center"/>
    </xf>
    <xf numFmtId="0" fontId="0" fillId="16" borderId="41" xfId="0" applyFill="1" applyBorder="1" applyAlignment="1">
      <alignment horizontal="center"/>
    </xf>
    <xf numFmtId="0" fontId="5" fillId="16" borderId="37" xfId="0" applyFont="1" applyFill="1" applyBorder="1" applyAlignment="1">
      <alignment horizontal="center" vertical="center" wrapText="1" readingOrder="1"/>
    </xf>
    <xf numFmtId="0" fontId="1" fillId="16" borderId="46" xfId="0" applyFont="1" applyFill="1" applyBorder="1" applyAlignment="1">
      <alignment wrapText="1"/>
    </xf>
    <xf numFmtId="0" fontId="9" fillId="19" borderId="0" xfId="0" applyFont="1" applyFill="1"/>
    <xf numFmtId="0" fontId="5" fillId="18" borderId="3" xfId="0" applyFont="1" applyFill="1" applyBorder="1" applyAlignment="1">
      <alignment horizontal="left" vertical="center" wrapText="1" readingOrder="1"/>
    </xf>
    <xf numFmtId="0" fontId="5" fillId="7" borderId="3" xfId="0" applyFont="1" applyFill="1" applyBorder="1" applyAlignment="1">
      <alignment horizontal="left" vertical="center" wrapText="1" readingOrder="1"/>
    </xf>
    <xf numFmtId="0" fontId="34" fillId="0" borderId="30" xfId="0" applyFont="1" applyBorder="1"/>
    <xf numFmtId="0" fontId="5" fillId="3" borderId="30" xfId="0" applyFont="1" applyFill="1" applyBorder="1" applyAlignment="1">
      <alignment horizontal="left" vertical="center" wrapText="1" readingOrder="1"/>
    </xf>
    <xf numFmtId="0" fontId="0" fillId="0" borderId="30" xfId="0" applyBorder="1" applyAlignment="1">
      <alignment horizontal="center"/>
    </xf>
    <xf numFmtId="0" fontId="34" fillId="0" borderId="60" xfId="0" applyFont="1" applyBorder="1"/>
    <xf numFmtId="0" fontId="5" fillId="3" borderId="60" xfId="0" applyFont="1" applyFill="1" applyBorder="1" applyAlignment="1">
      <alignment horizontal="left" vertical="center" wrapText="1" readingOrder="1"/>
    </xf>
    <xf numFmtId="0" fontId="14" fillId="18" borderId="55" xfId="0" applyFont="1" applyFill="1" applyBorder="1" applyAlignment="1">
      <alignment horizontal="left" vertical="center" wrapText="1" readingOrder="1"/>
    </xf>
    <xf numFmtId="0" fontId="14" fillId="18" borderId="7" xfId="0" applyFont="1" applyFill="1" applyBorder="1" applyAlignment="1">
      <alignment horizontal="left" vertical="center" wrapText="1" readingOrder="1"/>
    </xf>
    <xf numFmtId="0" fontId="11" fillId="0" borderId="7" xfId="0" applyFont="1" applyBorder="1"/>
    <xf numFmtId="0" fontId="0" fillId="0" borderId="7" xfId="0" applyBorder="1"/>
    <xf numFmtId="0" fontId="0" fillId="2" borderId="7" xfId="0" applyFill="1" applyBorder="1"/>
    <xf numFmtId="0" fontId="0" fillId="2" borderId="54" xfId="0" applyFill="1" applyBorder="1"/>
    <xf numFmtId="0" fontId="13" fillId="0" borderId="56" xfId="0" applyFont="1" applyBorder="1" applyAlignment="1">
      <alignment horizontal="center" wrapText="1"/>
    </xf>
    <xf numFmtId="0" fontId="0" fillId="2" borderId="57" xfId="0" applyFill="1" applyBorder="1"/>
    <xf numFmtId="0" fontId="0" fillId="0" borderId="56" xfId="0" applyBorder="1"/>
    <xf numFmtId="0" fontId="0" fillId="0" borderId="57" xfId="0" applyBorder="1"/>
    <xf numFmtId="0" fontId="0" fillId="0" borderId="58" xfId="0" applyBorder="1"/>
    <xf numFmtId="0" fontId="0" fillId="2" borderId="8" xfId="0" applyFill="1" applyBorder="1"/>
    <xf numFmtId="0" fontId="0" fillId="0" borderId="8" xfId="0" applyBorder="1"/>
    <xf numFmtId="0" fontId="0" fillId="0" borderId="59" xfId="0" applyBorder="1"/>
    <xf numFmtId="0" fontId="34" fillId="0" borderId="55" xfId="0" applyFont="1" applyBorder="1"/>
    <xf numFmtId="0" fontId="34" fillId="0" borderId="56" xfId="0" applyFont="1" applyBorder="1"/>
    <xf numFmtId="1" fontId="0" fillId="0" borderId="8" xfId="0" applyNumberFormat="1" applyBorder="1" applyAlignment="1">
      <alignment horizontal="center"/>
    </xf>
    <xf numFmtId="0" fontId="0" fillId="0" borderId="8" xfId="0" applyBorder="1" applyAlignment="1">
      <alignment horizontal="center"/>
    </xf>
    <xf numFmtId="0" fontId="0" fillId="7" borderId="7" xfId="0" applyFill="1" applyBorder="1"/>
    <xf numFmtId="0" fontId="0" fillId="7" borderId="54" xfId="0" applyFill="1" applyBorder="1"/>
    <xf numFmtId="0" fontId="5" fillId="16" borderId="10" xfId="0" applyFont="1" applyFill="1" applyBorder="1" applyAlignment="1">
      <alignment horizontal="left" vertical="center" wrapText="1" readingOrder="1"/>
    </xf>
    <xf numFmtId="0" fontId="0" fillId="16" borderId="9" xfId="0" applyFill="1" applyBorder="1"/>
    <xf numFmtId="0" fontId="39" fillId="16" borderId="0" xfId="0" applyFont="1" applyFill="1"/>
    <xf numFmtId="0" fontId="1" fillId="14" borderId="0" xfId="0" applyFont="1" applyFill="1" applyAlignment="1">
      <alignment horizontal="right"/>
    </xf>
    <xf numFmtId="0" fontId="1" fillId="14" borderId="18" xfId="0" applyFont="1" applyFill="1" applyBorder="1" applyAlignment="1">
      <alignment horizontal="right"/>
    </xf>
    <xf numFmtId="0" fontId="1" fillId="16" borderId="0" xfId="0" applyFont="1" applyFill="1" applyAlignment="1">
      <alignment horizontal="right"/>
    </xf>
    <xf numFmtId="0" fontId="1" fillId="16" borderId="18" xfId="0" applyFont="1" applyFill="1" applyBorder="1" applyAlignment="1">
      <alignment horizontal="right"/>
    </xf>
    <xf numFmtId="0" fontId="6" fillId="20" borderId="3" xfId="0" applyFont="1" applyFill="1" applyBorder="1" applyAlignment="1">
      <alignment horizontal="left" vertical="center" readingOrder="1"/>
    </xf>
    <xf numFmtId="0" fontId="18" fillId="0" borderId="0" xfId="0" applyFont="1" applyAlignment="1">
      <alignment wrapText="1"/>
    </xf>
    <xf numFmtId="0" fontId="23" fillId="9" borderId="20" xfId="0" applyFont="1" applyFill="1" applyBorder="1" applyAlignment="1">
      <alignment horizontal="left" vertical="center" readingOrder="1"/>
    </xf>
    <xf numFmtId="0" fontId="23" fillId="9" borderId="4" xfId="0" applyFont="1" applyFill="1" applyBorder="1" applyAlignment="1">
      <alignment horizontal="left" vertical="center" readingOrder="1"/>
    </xf>
    <xf numFmtId="0" fontId="23" fillId="9" borderId="21" xfId="0" applyFont="1" applyFill="1" applyBorder="1" applyAlignment="1">
      <alignment horizontal="left" vertical="center" readingOrder="1"/>
    </xf>
    <xf numFmtId="0" fontId="0" fillId="0" borderId="63" xfId="0" applyBorder="1" applyAlignment="1">
      <alignment horizontal="center" wrapText="1"/>
    </xf>
    <xf numFmtId="0" fontId="0" fillId="0" borderId="64" xfId="0" applyBorder="1" applyAlignment="1">
      <alignment horizontal="center" wrapText="1"/>
    </xf>
    <xf numFmtId="0" fontId="13" fillId="0" borderId="8" xfId="0" applyFont="1" applyBorder="1" applyAlignment="1">
      <alignment horizontal="center" wrapText="1"/>
    </xf>
    <xf numFmtId="0" fontId="14" fillId="7" borderId="3" xfId="0" applyFont="1" applyFill="1" applyBorder="1" applyAlignment="1">
      <alignment horizontal="center" vertical="center" wrapText="1" readingOrder="1"/>
    </xf>
    <xf numFmtId="0" fontId="14" fillId="7" borderId="0" xfId="0" applyFont="1" applyFill="1" applyAlignment="1">
      <alignment horizontal="center" vertical="center" wrapText="1" readingOrder="1"/>
    </xf>
    <xf numFmtId="0" fontId="0" fillId="7" borderId="3" xfId="0" applyFill="1" applyBorder="1" applyAlignment="1">
      <alignment horizontal="center" vertical="center"/>
    </xf>
    <xf numFmtId="0" fontId="0" fillId="7" borderId="0" xfId="0" applyFill="1" applyAlignment="1">
      <alignment horizontal="center" vertical="center"/>
    </xf>
    <xf numFmtId="0" fontId="6" fillId="7" borderId="2" xfId="0" applyFont="1" applyFill="1" applyBorder="1" applyAlignment="1">
      <alignment horizontal="center" vertical="center" wrapText="1" readingOrder="1"/>
    </xf>
    <xf numFmtId="0" fontId="6" fillId="3" borderId="2" xfId="0" applyFont="1" applyFill="1" applyBorder="1" applyAlignment="1">
      <alignment horizontal="center" vertical="center" wrapText="1" readingOrder="1"/>
    </xf>
    <xf numFmtId="0" fontId="0" fillId="2" borderId="2" xfId="0" applyFill="1" applyBorder="1" applyAlignment="1">
      <alignment horizontal="center"/>
    </xf>
    <xf numFmtId="0" fontId="38" fillId="14" borderId="0" xfId="0" applyFont="1" applyFill="1" applyAlignment="1">
      <alignment horizontal="left" vertical="top" textRotation="90" wrapText="1"/>
    </xf>
    <xf numFmtId="0" fontId="38" fillId="14" borderId="0" xfId="0" applyFont="1" applyFill="1" applyAlignment="1">
      <alignment horizontal="center" vertical="top" textRotation="90" wrapText="1"/>
    </xf>
    <xf numFmtId="0" fontId="5" fillId="7" borderId="7" xfId="0" applyFont="1" applyFill="1" applyBorder="1" applyAlignment="1">
      <alignment horizontal="center" vertical="center" wrapText="1" readingOrder="1"/>
    </xf>
    <xf numFmtId="0" fontId="5" fillId="7" borderId="0" xfId="0" applyFont="1" applyFill="1" applyAlignment="1">
      <alignment horizontal="center" vertical="center" wrapText="1" readingOrder="1"/>
    </xf>
  </cellXfs>
  <cellStyles count="6">
    <cellStyle name="Hyperlink 2" xfId="3" xr:uid="{00000000-0005-0000-0000-000000000000}"/>
    <cellStyle name="Normal" xfId="0" builtinId="0"/>
    <cellStyle name="Normal 2" xfId="1" xr:uid="{00000000-0005-0000-0000-000002000000}"/>
    <cellStyle name="Normal 3" xfId="4" xr:uid="{00000000-0005-0000-0000-000003000000}"/>
    <cellStyle name="Normal 4" xfId="5" xr:uid="{00000000-0005-0000-0000-000004000000}"/>
    <cellStyle name="Normal 8" xfId="2" xr:uid="{00000000-0005-0000-0000-000005000000}"/>
  </cellStyles>
  <dxfs count="69">
    <dxf>
      <fill>
        <patternFill>
          <bgColor theme="0" tint="-4.9989318521683403E-2"/>
        </patternFill>
      </fill>
    </dxf>
    <dxf>
      <fill>
        <patternFill>
          <bgColor theme="0" tint="-4.9989318521683403E-2"/>
        </patternFill>
      </fill>
    </dxf>
    <dxf>
      <fill>
        <patternFill>
          <bgColor theme="0" tint="-4.9989318521683403E-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E86D6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E86D65"/>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E86D6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E86D65"/>
        </patternFill>
      </fill>
    </dxf>
    <dxf>
      <fill>
        <patternFill>
          <bgColor theme="0" tint="-4.9989318521683403E-2"/>
        </patternFill>
      </fill>
    </dxf>
    <dxf>
      <fill>
        <patternFill>
          <bgColor theme="0" tint="-4.9989318521683403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rgb="FFE58C8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E86D65"/>
        </patternFill>
      </fill>
    </dxf>
    <dxf>
      <font>
        <color rgb="FF9C0006"/>
      </font>
    </dxf>
    <dxf>
      <font>
        <color rgb="FF9C0006"/>
      </font>
    </dxf>
    <dxf>
      <font>
        <color rgb="FF9C0006"/>
      </font>
    </dxf>
    <dxf>
      <font>
        <color rgb="FF9C0006"/>
      </font>
    </dxf>
    <dxf>
      <font>
        <b val="0"/>
        <i val="0"/>
        <color theme="1"/>
      </font>
      <fill>
        <patternFill>
          <bgColor rgb="FF97CB2E"/>
        </patternFill>
      </fill>
    </dxf>
    <dxf>
      <font>
        <b val="0"/>
        <i val="0"/>
        <color theme="1"/>
      </font>
      <fill>
        <patternFill>
          <bgColor rgb="FFFFCC1A"/>
        </patternFill>
      </fill>
    </dxf>
    <dxf>
      <font>
        <b val="0"/>
        <i val="0"/>
        <color theme="1"/>
      </font>
      <fill>
        <patternFill>
          <bgColor rgb="FFFF5B1A"/>
        </patternFill>
      </fill>
    </dxf>
    <dxf>
      <font>
        <b val="0"/>
        <i val="0"/>
        <color theme="1"/>
      </font>
      <fill>
        <patternFill>
          <bgColor rgb="FFCD1AFF"/>
        </patternFill>
      </fill>
    </dxf>
    <dxf>
      <font>
        <color rgb="FF9C0006"/>
      </font>
    </dxf>
    <dxf>
      <font>
        <color rgb="FF9C0006"/>
      </font>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val="0"/>
        <i val="0"/>
        <color theme="1"/>
      </font>
      <fill>
        <patternFill>
          <bgColor rgb="FFFF5B1A"/>
        </patternFill>
      </fill>
    </dxf>
    <dxf>
      <font>
        <b val="0"/>
        <i val="0"/>
        <color theme="1"/>
      </font>
      <fill>
        <patternFill>
          <bgColor rgb="FF97CB2E"/>
        </patternFill>
      </fill>
    </dxf>
    <dxf>
      <font>
        <b val="0"/>
        <i val="0"/>
        <color theme="1"/>
      </font>
      <fill>
        <patternFill>
          <bgColor rgb="FFFFCC1A"/>
        </patternFill>
      </fill>
    </dxf>
    <dxf>
      <font>
        <b val="0"/>
        <i val="0"/>
        <color theme="1"/>
      </font>
      <fill>
        <patternFill>
          <bgColor rgb="FFCD1AFF"/>
        </patternFill>
      </fill>
    </dxf>
    <dxf>
      <font>
        <b val="0"/>
        <i val="0"/>
        <color theme="1"/>
      </font>
      <fill>
        <patternFill>
          <bgColor rgb="FFCD1AFF"/>
        </patternFill>
      </fill>
    </dxf>
    <dxf>
      <font>
        <b val="0"/>
        <i val="0"/>
        <color theme="1"/>
      </font>
      <fill>
        <patternFill>
          <bgColor rgb="FFFF5B1A"/>
        </patternFill>
      </fill>
    </dxf>
    <dxf>
      <font>
        <b val="0"/>
        <i val="0"/>
        <color theme="1"/>
      </font>
      <fill>
        <patternFill>
          <bgColor rgb="FFFFCC1A"/>
        </patternFill>
      </fill>
    </dxf>
    <dxf>
      <font>
        <color rgb="FF9C0006"/>
      </font>
    </dxf>
    <dxf>
      <font>
        <b val="0"/>
        <i val="0"/>
        <color theme="1"/>
      </font>
      <fill>
        <patternFill>
          <bgColor rgb="FF97CB2E"/>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s>
  <tableStyles count="0" defaultTableStyle="TableStyleMedium2" defaultPivotStyle="PivotStyleLight16"/>
  <colors>
    <mruColors>
      <color rgb="FFD4CDFF"/>
      <color rgb="FFC00000"/>
      <color rgb="FF521B93"/>
      <color rgb="FFFFCC1A"/>
      <color rgb="FFFF5B1A"/>
      <color rgb="FFCD1AFF"/>
      <color rgb="FF923CF1"/>
      <color rgb="FF7832C4"/>
      <color rgb="FF6124C4"/>
      <color rgb="FF613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Speed</a:t>
            </a:r>
            <a:r>
              <a:rPr lang="en-US" baseline="0"/>
              <a:t> effect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movingAvg"/>
            <c:period val="2"/>
            <c:dispRSqr val="0"/>
            <c:dispEq val="0"/>
          </c:trendline>
          <c:xVal>
            <c:numRef>
              <c:f>'CycleRAP Model'!$DD$90:$DD$239</c:f>
              <c:numCache>
                <c:formatCode>General</c:formatCode>
                <c:ptCount val="1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numCache>
            </c:numRef>
          </c:xVal>
          <c:yVal>
            <c:numRef>
              <c:f>'CycleRAP Model'!$DE$90:$DE$239</c:f>
              <c:numCache>
                <c:formatCode>0.000</c:formatCode>
                <c:ptCount val="150"/>
                <c:pt idx="0">
                  <c:v>1</c:v>
                </c:pt>
                <c:pt idx="1">
                  <c:v>1.0883520644080664</c:v>
                </c:pt>
                <c:pt idx="2">
                  <c:v>1.0967400080604719</c:v>
                </c:pt>
                <c:pt idx="3">
                  <c:v>1.1059212423710705</c:v>
                </c:pt>
                <c:pt idx="4">
                  <c:v>1.115970188472984</c:v>
                </c:pt>
                <c:pt idx="5">
                  <c:v>1.1269681291664888</c:v>
                </c:pt>
                <c:pt idx="6">
                  <c:v>1.13900381771491</c:v>
                </c:pt>
                <c:pt idx="7">
                  <c:v>1.1521741358852158</c:v>
                </c:pt>
                <c:pt idx="8">
                  <c:v>1.1665848042420068</c:v>
                </c:pt>
                <c:pt idx="9">
                  <c:v>1.1823511476742019</c:v>
                </c:pt>
                <c:pt idx="10">
                  <c:v>1.1995989190444591</c:v>
                </c:pt>
                <c:pt idx="11">
                  <c:v>1.2184651836870217</c:v>
                </c:pt>
                <c:pt idx="12">
                  <c:v>1.2390992672220706</c:v>
                </c:pt>
                <c:pt idx="13">
                  <c:v>1.2616637687825043</c:v>
                </c:pt>
                <c:pt idx="14">
                  <c:v>1.2863356412373741</c:v>
                </c:pt>
                <c:pt idx="15">
                  <c:v>1.3133073393159136</c:v>
                </c:pt>
                <c:pt idx="16">
                  <c:v>1.3427880356537472</c:v>
                </c:pt>
                <c:pt idx="17">
                  <c:v>1.3750049036600511</c:v>
                </c:pt>
                <c:pt idx="18">
                  <c:v>1.4102044646976752</c:v>
                </c:pt>
                <c:pt idx="19">
                  <c:v>1.4486539953286679</c:v>
                </c:pt>
                <c:pt idx="20">
                  <c:v>1.4906429882510852</c:v>
                </c:pt>
                <c:pt idx="21">
                  <c:v>1.5364846579802132</c:v>
                </c:pt>
                <c:pt idx="22">
                  <c:v>1.5865174792447512</c:v>
                </c:pt>
                <c:pt idx="23">
                  <c:v>1.6411067424093222</c:v>
                </c:pt>
                <c:pt idx="24">
                  <c:v>1.7006461059307625</c:v>
                </c:pt>
                <c:pt idx="25">
                  <c:v>1.7655591208403716</c:v>
                </c:pt>
                <c:pt idx="26">
                  <c:v>1.8363006964563493</c:v>
                </c:pt>
                <c:pt idx="27">
                  <c:v>1.9133584699194381</c:v>
                </c:pt>
                <c:pt idx="28">
                  <c:v>1.9972540346773253</c:v>
                </c:pt>
                <c:pt idx="29">
                  <c:v>2.0885439747132932</c:v>
                </c:pt>
                <c:pt idx="30">
                  <c:v>2.1878206421534934</c:v>
                </c:pt>
                <c:pt idx="31">
                  <c:v>2.2957126059780268</c:v>
                </c:pt>
                <c:pt idx="32">
                  <c:v>2.4128846890547955</c:v>
                </c:pt>
                <c:pt idx="33">
                  <c:v>2.5400374998491917</c:v>
                </c:pt>
                <c:pt idx="34">
                  <c:v>2.6779063542822739</c:v>
                </c:pt>
                <c:pt idx="35">
                  <c:v>2.8272594727895157</c:v>
                </c:pt>
                <c:pt idx="36">
                  <c:v>2.98889532829772</c:v>
                </c:pt>
                <c:pt idx="37">
                  <c:v>3.1636390133865429</c:v>
                </c:pt>
                <c:pt idx="38">
                  <c:v>3.3523374903161289</c:v>
                </c:pt>
                <c:pt idx="39">
                  <c:v>3.5558535870572587</c:v>
                </c:pt>
                <c:pt idx="40">
                  <c:v>3.7750586073096404</c:v>
                </c:pt>
                <c:pt idx="41">
                  <c:v>4.0108234342432594</c:v>
                </c:pt>
                <c:pt idx="42">
                  <c:v>4.264008027946204</c:v>
                </c:pt>
                <c:pt idx="43">
                  <c:v>4.5354492469116252</c:v>
                </c:pt>
                <c:pt idx="44">
                  <c:v>4.825946965818523</c:v>
                </c:pt>
                <c:pt idx="45">
                  <c:v>5.1362485165243035</c:v>
                </c:pt>
                <c:pt idx="46">
                  <c:v>5.4670315472387889</c:v>
                </c:pt>
                <c:pt idx="47">
                  <c:v>5.8188854761634676</c:v>
                </c:pt>
                <c:pt idx="48">
                  <c:v>6.1922918092850381</c:v>
                </c:pt>
                <c:pt idx="49">
                  <c:v>6.5876036950276458</c:v>
                </c:pt>
                <c:pt idx="50">
                  <c:v>7.0050251970823556</c:v>
                </c:pt>
                <c:pt idx="51">
                  <c:v>7.4445908752758525</c:v>
                </c:pt>
                <c:pt idx="52">
                  <c:v>7.9061463655047088</c:v>
                </c:pt>
                <c:pt idx="53">
                  <c:v>8.3893307348176034</c:v>
                </c:pt>
                <c:pt idx="54">
                  <c:v>8.8935614469914785</c:v>
                </c:pt>
                <c:pt idx="55">
                  <c:v>9.4180227975065556</c:v>
                </c:pt>
                <c:pt idx="56">
                  <c:v>9.961658655519356</c:v>
                </c:pt>
                <c:pt idx="57">
                  <c:v>10.52317027701568</c:v>
                </c:pt>
                <c:pt idx="58">
                  <c:v>11.101019823698868</c:v>
                </c:pt>
                <c:pt idx="59">
                  <c:v>11.693440036517211</c:v>
                </c:pt>
                <c:pt idx="60">
                  <c:v>12.298450276372151</c:v>
                </c:pt>
                <c:pt idx="61">
                  <c:v>12.9138788682752</c:v>
                </c:pt>
                <c:pt idx="62">
                  <c:v>13.537391385027741</c:v>
                </c:pt>
                <c:pt idx="63">
                  <c:v>14.166524202550482</c:v>
                </c:pt>
                <c:pt idx="64">
                  <c:v>14.798722373912563</c:v>
                </c:pt>
                <c:pt idx="65">
                  <c:v>15.431380625740852</c:v>
                </c:pt>
                <c:pt idx="66">
                  <c:v>16.061886099569769</c:v>
                </c:pt>
                <c:pt idx="67">
                  <c:v>16.687661357665199</c:v>
                </c:pt>
                <c:pt idx="68">
                  <c:v>17.306206157130251</c:v>
                </c:pt>
                <c:pt idx="69">
                  <c:v>17.915136569092734</c:v>
                </c:pt>
                <c:pt idx="70">
                  <c:v>18.512220174932928</c:v>
                </c:pt>
                <c:pt idx="71">
                  <c:v>19.095406295137828</c:v>
                </c:pt>
                <c:pt idx="72">
                  <c:v>19.662850479317839</c:v>
                </c:pt>
                <c:pt idx="73">
                  <c:v>20.212932785874784</c:v>
                </c:pt>
                <c:pt idx="74">
                  <c:v>20.744269683791842</c:v>
                </c:pt>
                <c:pt idx="75">
                  <c:v>21.255719695767056</c:v>
                </c:pt>
                <c:pt idx="76">
                  <c:v>21.746383153820535</c:v>
                </c:pt>
                <c:pt idx="77">
                  <c:v>22.215596642874836</c:v>
                </c:pt>
                <c:pt idx="78">
                  <c:v>22.662922857406503</c:v>
                </c:pt>
                <c:pt idx="79">
                  <c:v>23.088136689180526</c:v>
                </c:pt>
                <c:pt idx="80">
                  <c:v>23.491208403019971</c:v>
                </c:pt>
                <c:pt idx="81">
                  <c:v>23.872284748808632</c:v>
                </c:pt>
                <c:pt idx="82">
                  <c:v>24.231668810102363</c:v>
                </c:pt>
                <c:pt idx="83">
                  <c:v>24.569799312604776</c:v>
                </c:pt>
                <c:pt idx="84">
                  <c:v>24.887230019206424</c:v>
                </c:pt>
                <c:pt idx="85">
                  <c:v>25.184609731425194</c:v>
                </c:pt>
                <c:pt idx="86">
                  <c:v>25.462663307763453</c:v>
                </c:pt>
                <c:pt idx="87">
                  <c:v>25.722174003972562</c:v>
                </c:pt>
                <c:pt idx="88">
                  <c:v>25.963967343073264</c:v>
                </c:pt>
                <c:pt idx="89">
                  <c:v>26.188896637219017</c:v>
                </c:pt>
                <c:pt idx="90">
                  <c:v>26.397830210711653</c:v>
                </c:pt>
                <c:pt idx="91">
                  <c:v>26.591640314147334</c:v>
                </c:pt>
                <c:pt idx="92">
                  <c:v>26.771193673379464</c:v>
                </c:pt>
                <c:pt idx="93">
                  <c:v>26.937343582722974</c:v>
                </c:pt>
                <c:pt idx="94">
                  <c:v>27.090923428203052</c:v>
                </c:pt>
                <c:pt idx="95">
                  <c:v>27.232741512098034</c:v>
                </c:pt>
                <c:pt idx="96">
                  <c:v>27.363577042928608</c:v>
                </c:pt>
                <c:pt idx="97">
                  <c:v>27.484177153856713</c:v>
                </c:pt>
                <c:pt idx="98">
                  <c:v>27.595254815765237</c:v>
                </c:pt>
                <c:pt idx="99">
                  <c:v>27.697487517854828</c:v>
                </c:pt>
                <c:pt idx="100">
                  <c:v>27.791516597366442</c:v>
                </c:pt>
                <c:pt idx="101">
                  <c:v>27.877947110156807</c:v>
                </c:pt>
                <c:pt idx="102">
                  <c:v>27.957348144633944</c:v>
                </c:pt>
                <c:pt idx="103">
                  <c:v>28.030253492476572</c:v>
                </c:pt>
                <c:pt idx="104">
                  <c:v>28.097162600226007</c:v>
                </c:pt>
                <c:pt idx="105">
                  <c:v>28.158541735979437</c:v>
                </c:pt>
                <c:pt idx="106">
                  <c:v>28.214825314850319</c:v>
                </c:pt>
                <c:pt idx="107">
                  <c:v>28.266417335489876</c:v>
                </c:pt>
                <c:pt idx="108">
                  <c:v>28.313692887735311</c:v>
                </c:pt>
                <c:pt idx="109">
                  <c:v>28.356999698360269</c:v>
                </c:pt>
                <c:pt idx="110">
                  <c:v>28.39665968797518</c:v>
                </c:pt>
                <c:pt idx="111">
                  <c:v>28.432970517405938</c:v>
                </c:pt>
                <c:pt idx="112">
                  <c:v>28.466207106425614</c:v>
                </c:pt>
                <c:pt idx="113">
                  <c:v>28.496623111592385</c:v>
                </c:pt>
                <c:pt idx="114">
                  <c:v>28.524452353224177</c:v>
                </c:pt>
                <c:pt idx="115">
                  <c:v>28.549910184285391</c:v>
                </c:pt>
                <c:pt idx="116">
                  <c:v>28.573194796237264</c:v>
                </c:pt>
                <c:pt idx="117">
                  <c:v>28.594488458772883</c:v>
                </c:pt>
                <c:pt idx="118">
                  <c:v>28.613958691875659</c:v>
                </c:pt>
                <c:pt idx="119">
                  <c:v>28.631759369857509</c:v>
                </c:pt>
                <c:pt idx="120">
                  <c:v>28.64803175799538</c:v>
                </c:pt>
                <c:pt idx="121">
                  <c:v>28.662905483131883</c:v>
                </c:pt>
                <c:pt idx="122">
                  <c:v>28.67649944017343</c:v>
                </c:pt>
                <c:pt idx="123">
                  <c:v>28.688922636837191</c:v>
                </c:pt>
                <c:pt idx="124">
                  <c:v>28.700274979293823</c:v>
                </c:pt>
                <c:pt idx="125">
                  <c:v>28.710648001547479</c:v>
                </c:pt>
                <c:pt idx="126">
                  <c:v>28.720125541508637</c:v>
                </c:pt>
                <c:pt idx="127">
                  <c:v>28.728784366764071</c:v>
                </c:pt>
                <c:pt idx="128">
                  <c:v>28.736694753045867</c:v>
                </c:pt>
                <c:pt idx="129">
                  <c:v>28.743921018359114</c:v>
                </c:pt>
                <c:pt idx="130">
                  <c:v>28.750522015655065</c:v>
                </c:pt>
                <c:pt idx="131">
                  <c:v>28.756551586841304</c:v>
                </c:pt>
                <c:pt idx="132">
                  <c:v>28.762058980808625</c:v>
                </c:pt>
                <c:pt idx="133">
                  <c:v>28.767089238031701</c:v>
                </c:pt>
                <c:pt idx="134">
                  <c:v>28.771683544170923</c:v>
                </c:pt>
                <c:pt idx="135">
                  <c:v>28.77587955496961</c:v>
                </c:pt>
                <c:pt idx="136">
                  <c:v>28.77971169460659</c:v>
                </c:pt>
                <c:pt idx="137">
                  <c:v>28.783211429531367</c:v>
                </c:pt>
                <c:pt idx="138">
                  <c:v>28.786407519678448</c:v>
                </c:pt>
                <c:pt idx="139">
                  <c:v>28.789326248831397</c:v>
                </c:pt>
                <c:pt idx="140">
                  <c:v>28.791991635785219</c:v>
                </c:pt>
                <c:pt idx="141">
                  <c:v>28.794425627839345</c:v>
                </c:pt>
                <c:pt idx="142">
                  <c:v>28.796648278043129</c:v>
                </c:pt>
                <c:pt idx="143">
                  <c:v>28.798677907510601</c:v>
                </c:pt>
                <c:pt idx="144">
                  <c:v>28.800531254022918</c:v>
                </c:pt>
                <c:pt idx="145">
                  <c:v>28.802223608044059</c:v>
                </c:pt>
                <c:pt idx="146">
                  <c:v>28.803768937188394</c:v>
                </c:pt>
                <c:pt idx="147">
                  <c:v>28.805180000097927</c:v>
                </c:pt>
                <c:pt idx="148">
                  <c:v>28.806468450611153</c:v>
                </c:pt>
                <c:pt idx="149">
                  <c:v>28.807644933035419</c:v>
                </c:pt>
              </c:numCache>
            </c:numRef>
          </c:yVal>
          <c:smooth val="0"/>
          <c:extLst>
            <c:ext xmlns:c16="http://schemas.microsoft.com/office/drawing/2014/chart" uri="{C3380CC4-5D6E-409C-BE32-E72D297353CC}">
              <c16:uniqueId val="{00000000-57C6-F743-BE4C-1244D9C5AB8F}"/>
            </c:ext>
          </c:extLst>
        </c:ser>
        <c:dLbls>
          <c:showLegendKey val="0"/>
          <c:showVal val="0"/>
          <c:showCatName val="0"/>
          <c:showSerName val="0"/>
          <c:showPercent val="0"/>
          <c:showBubbleSize val="0"/>
        </c:dLbls>
        <c:axId val="1771616768"/>
        <c:axId val="1771618416"/>
      </c:scatterChart>
      <c:valAx>
        <c:axId val="17716167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1618416"/>
        <c:crosses val="autoZero"/>
        <c:crossBetween val="midCat"/>
        <c:majorUnit val="20"/>
        <c:minorUnit val="10"/>
      </c:valAx>
      <c:valAx>
        <c:axId val="177161841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16167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Road AADT</a:t>
            </a:r>
            <a:r>
              <a:rPr lang="en-US" baseline="0"/>
              <a:t> effect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movingAvg"/>
            <c:period val="2"/>
            <c:dispRSqr val="0"/>
            <c:dispEq val="0"/>
          </c:trendline>
          <c:xVal>
            <c:numRef>
              <c:f>'CycleRAP Model'!$DI$3:$DI$19</c:f>
              <c:numCache>
                <c:formatCode>General</c:formatCode>
                <c:ptCount val="17"/>
                <c:pt idx="0">
                  <c:v>0</c:v>
                </c:pt>
                <c:pt idx="1">
                  <c:v>100</c:v>
                </c:pt>
                <c:pt idx="2">
                  <c:v>500</c:v>
                </c:pt>
                <c:pt idx="3">
                  <c:v>1500</c:v>
                </c:pt>
                <c:pt idx="4">
                  <c:v>2500</c:v>
                </c:pt>
                <c:pt idx="5">
                  <c:v>5000</c:v>
                </c:pt>
                <c:pt idx="6">
                  <c:v>7500</c:v>
                </c:pt>
                <c:pt idx="7">
                  <c:v>10000</c:v>
                </c:pt>
                <c:pt idx="8">
                  <c:v>12500</c:v>
                </c:pt>
                <c:pt idx="9">
                  <c:v>15000</c:v>
                </c:pt>
                <c:pt idx="10">
                  <c:v>17500</c:v>
                </c:pt>
                <c:pt idx="11">
                  <c:v>20000</c:v>
                </c:pt>
                <c:pt idx="12">
                  <c:v>22500</c:v>
                </c:pt>
                <c:pt idx="13">
                  <c:v>25000</c:v>
                </c:pt>
                <c:pt idx="14">
                  <c:v>30000</c:v>
                </c:pt>
                <c:pt idx="15">
                  <c:v>35000</c:v>
                </c:pt>
                <c:pt idx="16">
                  <c:v>40000</c:v>
                </c:pt>
              </c:numCache>
            </c:numRef>
          </c:xVal>
          <c:yVal>
            <c:numRef>
              <c:f>'CycleRAP Model'!$DK$3:$DK$19</c:f>
              <c:numCache>
                <c:formatCode>0.000</c:formatCode>
                <c:ptCount val="17"/>
                <c:pt idx="0">
                  <c:v>0.25</c:v>
                </c:pt>
                <c:pt idx="1">
                  <c:v>0.25</c:v>
                </c:pt>
                <c:pt idx="2">
                  <c:v>0.5</c:v>
                </c:pt>
                <c:pt idx="3">
                  <c:v>0.75</c:v>
                </c:pt>
                <c:pt idx="4">
                  <c:v>1</c:v>
                </c:pt>
                <c:pt idx="5">
                  <c:v>1.07</c:v>
                </c:pt>
                <c:pt idx="6">
                  <c:v>1.1449</c:v>
                </c:pt>
                <c:pt idx="7">
                  <c:v>1.2250430000000001</c:v>
                </c:pt>
                <c:pt idx="8">
                  <c:v>1.3107960100000002</c:v>
                </c:pt>
                <c:pt idx="9">
                  <c:v>1.4025517307000002</c:v>
                </c:pt>
                <c:pt idx="10">
                  <c:v>1.5007303518490003</c:v>
                </c:pt>
                <c:pt idx="11">
                  <c:v>1.6057814764784304</c:v>
                </c:pt>
                <c:pt idx="12">
                  <c:v>1.7181861798319205</c:v>
                </c:pt>
                <c:pt idx="13">
                  <c:v>1.8384592124201549</c:v>
                </c:pt>
                <c:pt idx="14">
                  <c:v>1.9671513572895658</c:v>
                </c:pt>
                <c:pt idx="15">
                  <c:v>2.1048519522998355</c:v>
                </c:pt>
                <c:pt idx="16">
                  <c:v>2.2521915889608239</c:v>
                </c:pt>
              </c:numCache>
            </c:numRef>
          </c:yVal>
          <c:smooth val="0"/>
          <c:extLst>
            <c:ext xmlns:c16="http://schemas.microsoft.com/office/drawing/2014/chart" uri="{C3380CC4-5D6E-409C-BE32-E72D297353CC}">
              <c16:uniqueId val="{00000001-C8C3-014C-9FAC-A609E98C15E5}"/>
            </c:ext>
          </c:extLst>
        </c:ser>
        <c:dLbls>
          <c:showLegendKey val="0"/>
          <c:showVal val="0"/>
          <c:showCatName val="0"/>
          <c:showSerName val="0"/>
          <c:showPercent val="0"/>
          <c:showBubbleSize val="0"/>
        </c:dLbls>
        <c:axId val="1771616768"/>
        <c:axId val="1771618416"/>
      </c:scatterChart>
      <c:valAx>
        <c:axId val="17716167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1618416"/>
        <c:crosses val="autoZero"/>
        <c:crossBetween val="midCat"/>
        <c:majorUnit val="5000"/>
        <c:minorUnit val="1000"/>
      </c:valAx>
      <c:valAx>
        <c:axId val="177161841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16167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'Speed risk factors'!$B$3:$B$153</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'Speed risk factors'!$D$3:$D$153</c:f>
            </c:numRef>
          </c:yVal>
          <c:smooth val="0"/>
          <c:extLst>
            <c:ext xmlns:c16="http://schemas.microsoft.com/office/drawing/2014/chart" uri="{C3380CC4-5D6E-409C-BE32-E72D297353CC}">
              <c16:uniqueId val="{00000000-2156-7B4E-862D-606714209A28}"/>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'Speed risk factors'!$B$3:$B$153</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'Speed risk factors'!$F$3:$F$153</c:f>
              <c:numCache>
                <c:formatCode>General</c:formatCode>
                <c:ptCount val="151"/>
                <c:pt idx="0" formatCode="0.000">
                  <c:v>1</c:v>
                </c:pt>
                <c:pt idx="10" formatCode="0.000">
                  <c:v>1.25</c:v>
                </c:pt>
                <c:pt idx="20" formatCode="0.000">
                  <c:v>1.5</c:v>
                </c:pt>
                <c:pt idx="30" formatCode="0.000">
                  <c:v>2</c:v>
                </c:pt>
                <c:pt idx="40" formatCode="0.000">
                  <c:v>4</c:v>
                </c:pt>
                <c:pt idx="50" formatCode="0.000">
                  <c:v>7</c:v>
                </c:pt>
                <c:pt idx="60" formatCode="0.000">
                  <c:v>12</c:v>
                </c:pt>
                <c:pt idx="70" formatCode="0.000">
                  <c:v>18</c:v>
                </c:pt>
                <c:pt idx="80" formatCode="0.000">
                  <c:v>23</c:v>
                </c:pt>
                <c:pt idx="90" formatCode="0.000">
                  <c:v>26.5</c:v>
                </c:pt>
                <c:pt idx="100" formatCode="0.000">
                  <c:v>28</c:v>
                </c:pt>
                <c:pt idx="110" formatCode="0.000">
                  <c:v>28.5</c:v>
                </c:pt>
                <c:pt idx="120" formatCode="0.000">
                  <c:v>28.75</c:v>
                </c:pt>
                <c:pt idx="130" formatCode="0.000">
                  <c:v>28.8</c:v>
                </c:pt>
                <c:pt idx="140" formatCode="0.000">
                  <c:v>28.82</c:v>
                </c:pt>
              </c:numCache>
            </c:numRef>
          </c:yVal>
          <c:smooth val="0"/>
          <c:extLst>
            <c:ext xmlns:c16="http://schemas.microsoft.com/office/drawing/2014/chart" uri="{C3380CC4-5D6E-409C-BE32-E72D297353CC}">
              <c16:uniqueId val="{00000001-2156-7B4E-862D-606714209A28}"/>
            </c:ext>
          </c:extLst>
        </c:ser>
        <c:ser>
          <c:idx val="2"/>
          <c:order val="2"/>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'Speed risk factors'!$B$3:$B$153</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'CycleRAP Model'!$DE$90:$DE$239</c:f>
              <c:numCache>
                <c:formatCode>0.000</c:formatCode>
                <c:ptCount val="150"/>
                <c:pt idx="0">
                  <c:v>1</c:v>
                </c:pt>
                <c:pt idx="1">
                  <c:v>1.0883520644080664</c:v>
                </c:pt>
                <c:pt idx="2">
                  <c:v>1.0967400080604719</c:v>
                </c:pt>
                <c:pt idx="3">
                  <c:v>1.1059212423710705</c:v>
                </c:pt>
                <c:pt idx="4">
                  <c:v>1.115970188472984</c:v>
                </c:pt>
                <c:pt idx="5">
                  <c:v>1.1269681291664888</c:v>
                </c:pt>
                <c:pt idx="6">
                  <c:v>1.13900381771491</c:v>
                </c:pt>
                <c:pt idx="7">
                  <c:v>1.1521741358852158</c:v>
                </c:pt>
                <c:pt idx="8">
                  <c:v>1.1665848042420068</c:v>
                </c:pt>
                <c:pt idx="9">
                  <c:v>1.1823511476742019</c:v>
                </c:pt>
                <c:pt idx="10">
                  <c:v>1.1995989190444591</c:v>
                </c:pt>
                <c:pt idx="11">
                  <c:v>1.2184651836870217</c:v>
                </c:pt>
                <c:pt idx="12">
                  <c:v>1.2390992672220706</c:v>
                </c:pt>
                <c:pt idx="13">
                  <c:v>1.2616637687825043</c:v>
                </c:pt>
                <c:pt idx="14">
                  <c:v>1.2863356412373741</c:v>
                </c:pt>
                <c:pt idx="15">
                  <c:v>1.3133073393159136</c:v>
                </c:pt>
                <c:pt idx="16">
                  <c:v>1.3427880356537472</c:v>
                </c:pt>
                <c:pt idx="17">
                  <c:v>1.3750049036600511</c:v>
                </c:pt>
                <c:pt idx="18">
                  <c:v>1.4102044646976752</c:v>
                </c:pt>
                <c:pt idx="19">
                  <c:v>1.4486539953286679</c:v>
                </c:pt>
                <c:pt idx="20">
                  <c:v>1.4906429882510852</c:v>
                </c:pt>
                <c:pt idx="21">
                  <c:v>1.5364846579802132</c:v>
                </c:pt>
                <c:pt idx="22">
                  <c:v>1.5865174792447512</c:v>
                </c:pt>
                <c:pt idx="23">
                  <c:v>1.6411067424093222</c:v>
                </c:pt>
                <c:pt idx="24">
                  <c:v>1.7006461059307625</c:v>
                </c:pt>
                <c:pt idx="25">
                  <c:v>1.7655591208403716</c:v>
                </c:pt>
                <c:pt idx="26">
                  <c:v>1.8363006964563493</c:v>
                </c:pt>
                <c:pt idx="27">
                  <c:v>1.9133584699194381</c:v>
                </c:pt>
                <c:pt idx="28">
                  <c:v>1.9972540346773253</c:v>
                </c:pt>
                <c:pt idx="29">
                  <c:v>2.0885439747132932</c:v>
                </c:pt>
                <c:pt idx="30">
                  <c:v>2.1878206421534934</c:v>
                </c:pt>
                <c:pt idx="31">
                  <c:v>2.2957126059780268</c:v>
                </c:pt>
                <c:pt idx="32">
                  <c:v>2.4128846890547955</c:v>
                </c:pt>
                <c:pt idx="33">
                  <c:v>2.5400374998491917</c:v>
                </c:pt>
                <c:pt idx="34">
                  <c:v>2.6779063542822739</c:v>
                </c:pt>
                <c:pt idx="35">
                  <c:v>2.8272594727895157</c:v>
                </c:pt>
                <c:pt idx="36">
                  <c:v>2.98889532829772</c:v>
                </c:pt>
                <c:pt idx="37">
                  <c:v>3.1636390133865429</c:v>
                </c:pt>
                <c:pt idx="38">
                  <c:v>3.3523374903161289</c:v>
                </c:pt>
                <c:pt idx="39">
                  <c:v>3.5558535870572587</c:v>
                </c:pt>
                <c:pt idx="40">
                  <c:v>3.7750586073096404</c:v>
                </c:pt>
                <c:pt idx="41">
                  <c:v>4.0108234342432594</c:v>
                </c:pt>
                <c:pt idx="42">
                  <c:v>4.264008027946204</c:v>
                </c:pt>
                <c:pt idx="43">
                  <c:v>4.5354492469116252</c:v>
                </c:pt>
                <c:pt idx="44">
                  <c:v>4.825946965818523</c:v>
                </c:pt>
                <c:pt idx="45">
                  <c:v>5.1362485165243035</c:v>
                </c:pt>
                <c:pt idx="46">
                  <c:v>5.4670315472387889</c:v>
                </c:pt>
                <c:pt idx="47">
                  <c:v>5.8188854761634676</c:v>
                </c:pt>
                <c:pt idx="48">
                  <c:v>6.1922918092850381</c:v>
                </c:pt>
                <c:pt idx="49">
                  <c:v>6.5876036950276458</c:v>
                </c:pt>
                <c:pt idx="50">
                  <c:v>7.0050251970823556</c:v>
                </c:pt>
                <c:pt idx="51">
                  <c:v>7.4445908752758525</c:v>
                </c:pt>
                <c:pt idx="52">
                  <c:v>7.9061463655047088</c:v>
                </c:pt>
                <c:pt idx="53">
                  <c:v>8.3893307348176034</c:v>
                </c:pt>
                <c:pt idx="54">
                  <c:v>8.8935614469914785</c:v>
                </c:pt>
                <c:pt idx="55">
                  <c:v>9.4180227975065556</c:v>
                </c:pt>
                <c:pt idx="56">
                  <c:v>9.961658655519356</c:v>
                </c:pt>
                <c:pt idx="57">
                  <c:v>10.52317027701568</c:v>
                </c:pt>
                <c:pt idx="58">
                  <c:v>11.101019823698868</c:v>
                </c:pt>
                <c:pt idx="59">
                  <c:v>11.693440036517211</c:v>
                </c:pt>
                <c:pt idx="60">
                  <c:v>12.298450276372151</c:v>
                </c:pt>
                <c:pt idx="61">
                  <c:v>12.9138788682752</c:v>
                </c:pt>
                <c:pt idx="62">
                  <c:v>13.537391385027741</c:v>
                </c:pt>
                <c:pt idx="63">
                  <c:v>14.166524202550482</c:v>
                </c:pt>
                <c:pt idx="64">
                  <c:v>14.798722373912563</c:v>
                </c:pt>
                <c:pt idx="65">
                  <c:v>15.431380625740852</c:v>
                </c:pt>
                <c:pt idx="66">
                  <c:v>16.061886099569769</c:v>
                </c:pt>
                <c:pt idx="67">
                  <c:v>16.687661357665199</c:v>
                </c:pt>
                <c:pt idx="68">
                  <c:v>17.306206157130251</c:v>
                </c:pt>
                <c:pt idx="69">
                  <c:v>17.915136569092734</c:v>
                </c:pt>
                <c:pt idx="70">
                  <c:v>18.512220174932928</c:v>
                </c:pt>
                <c:pt idx="71">
                  <c:v>19.095406295137828</c:v>
                </c:pt>
                <c:pt idx="72">
                  <c:v>19.662850479317839</c:v>
                </c:pt>
                <c:pt idx="73">
                  <c:v>20.212932785874784</c:v>
                </c:pt>
                <c:pt idx="74">
                  <c:v>20.744269683791842</c:v>
                </c:pt>
                <c:pt idx="75">
                  <c:v>21.255719695767056</c:v>
                </c:pt>
                <c:pt idx="76">
                  <c:v>21.746383153820535</c:v>
                </c:pt>
                <c:pt idx="77">
                  <c:v>22.215596642874836</c:v>
                </c:pt>
                <c:pt idx="78">
                  <c:v>22.662922857406503</c:v>
                </c:pt>
                <c:pt idx="79">
                  <c:v>23.088136689180526</c:v>
                </c:pt>
                <c:pt idx="80">
                  <c:v>23.491208403019971</c:v>
                </c:pt>
                <c:pt idx="81">
                  <c:v>23.872284748808632</c:v>
                </c:pt>
                <c:pt idx="82">
                  <c:v>24.231668810102363</c:v>
                </c:pt>
                <c:pt idx="83">
                  <c:v>24.569799312604776</c:v>
                </c:pt>
                <c:pt idx="84">
                  <c:v>24.887230019206424</c:v>
                </c:pt>
                <c:pt idx="85">
                  <c:v>25.184609731425194</c:v>
                </c:pt>
                <c:pt idx="86">
                  <c:v>25.462663307763453</c:v>
                </c:pt>
                <c:pt idx="87">
                  <c:v>25.722174003972562</c:v>
                </c:pt>
                <c:pt idx="88">
                  <c:v>25.963967343073264</c:v>
                </c:pt>
                <c:pt idx="89">
                  <c:v>26.188896637219017</c:v>
                </c:pt>
                <c:pt idx="90">
                  <c:v>26.397830210711653</c:v>
                </c:pt>
                <c:pt idx="91">
                  <c:v>26.591640314147334</c:v>
                </c:pt>
                <c:pt idx="92">
                  <c:v>26.771193673379464</c:v>
                </c:pt>
                <c:pt idx="93">
                  <c:v>26.937343582722974</c:v>
                </c:pt>
                <c:pt idx="94">
                  <c:v>27.090923428203052</c:v>
                </c:pt>
                <c:pt idx="95">
                  <c:v>27.232741512098034</c:v>
                </c:pt>
                <c:pt idx="96">
                  <c:v>27.363577042928608</c:v>
                </c:pt>
                <c:pt idx="97">
                  <c:v>27.484177153856713</c:v>
                </c:pt>
                <c:pt idx="98">
                  <c:v>27.595254815765237</c:v>
                </c:pt>
                <c:pt idx="99">
                  <c:v>27.697487517854828</c:v>
                </c:pt>
                <c:pt idx="100">
                  <c:v>27.791516597366442</c:v>
                </c:pt>
                <c:pt idx="101">
                  <c:v>27.877947110156807</c:v>
                </c:pt>
                <c:pt idx="102">
                  <c:v>27.957348144633944</c:v>
                </c:pt>
                <c:pt idx="103">
                  <c:v>28.030253492476572</c:v>
                </c:pt>
                <c:pt idx="104">
                  <c:v>28.097162600226007</c:v>
                </c:pt>
                <c:pt idx="105">
                  <c:v>28.158541735979437</c:v>
                </c:pt>
                <c:pt idx="106">
                  <c:v>28.214825314850319</c:v>
                </c:pt>
                <c:pt idx="107">
                  <c:v>28.266417335489876</c:v>
                </c:pt>
                <c:pt idx="108">
                  <c:v>28.313692887735311</c:v>
                </c:pt>
                <c:pt idx="109">
                  <c:v>28.356999698360269</c:v>
                </c:pt>
                <c:pt idx="110">
                  <c:v>28.39665968797518</c:v>
                </c:pt>
                <c:pt idx="111">
                  <c:v>28.432970517405938</c:v>
                </c:pt>
                <c:pt idx="112">
                  <c:v>28.466207106425614</c:v>
                </c:pt>
                <c:pt idx="113">
                  <c:v>28.496623111592385</c:v>
                </c:pt>
                <c:pt idx="114">
                  <c:v>28.524452353224177</c:v>
                </c:pt>
                <c:pt idx="115">
                  <c:v>28.549910184285391</c:v>
                </c:pt>
                <c:pt idx="116">
                  <c:v>28.573194796237264</c:v>
                </c:pt>
                <c:pt idx="117">
                  <c:v>28.594488458772883</c:v>
                </c:pt>
                <c:pt idx="118">
                  <c:v>28.613958691875659</c:v>
                </c:pt>
                <c:pt idx="119">
                  <c:v>28.631759369857509</c:v>
                </c:pt>
                <c:pt idx="120">
                  <c:v>28.64803175799538</c:v>
                </c:pt>
                <c:pt idx="121">
                  <c:v>28.662905483131883</c:v>
                </c:pt>
                <c:pt idx="122">
                  <c:v>28.67649944017343</c:v>
                </c:pt>
                <c:pt idx="123">
                  <c:v>28.688922636837191</c:v>
                </c:pt>
                <c:pt idx="124">
                  <c:v>28.700274979293823</c:v>
                </c:pt>
                <c:pt idx="125">
                  <c:v>28.710648001547479</c:v>
                </c:pt>
                <c:pt idx="126">
                  <c:v>28.720125541508637</c:v>
                </c:pt>
                <c:pt idx="127">
                  <c:v>28.728784366764071</c:v>
                </c:pt>
                <c:pt idx="128">
                  <c:v>28.736694753045867</c:v>
                </c:pt>
                <c:pt idx="129">
                  <c:v>28.743921018359114</c:v>
                </c:pt>
                <c:pt idx="130">
                  <c:v>28.750522015655065</c:v>
                </c:pt>
                <c:pt idx="131">
                  <c:v>28.756551586841304</c:v>
                </c:pt>
                <c:pt idx="132">
                  <c:v>28.762058980808625</c:v>
                </c:pt>
                <c:pt idx="133">
                  <c:v>28.767089238031701</c:v>
                </c:pt>
                <c:pt idx="134">
                  <c:v>28.771683544170923</c:v>
                </c:pt>
                <c:pt idx="135">
                  <c:v>28.77587955496961</c:v>
                </c:pt>
                <c:pt idx="136">
                  <c:v>28.77971169460659</c:v>
                </c:pt>
                <c:pt idx="137">
                  <c:v>28.783211429531367</c:v>
                </c:pt>
                <c:pt idx="138">
                  <c:v>28.786407519678448</c:v>
                </c:pt>
                <c:pt idx="139">
                  <c:v>28.789326248831397</c:v>
                </c:pt>
                <c:pt idx="140">
                  <c:v>28.791991635785219</c:v>
                </c:pt>
                <c:pt idx="141">
                  <c:v>28.794425627839345</c:v>
                </c:pt>
                <c:pt idx="142">
                  <c:v>28.796648278043129</c:v>
                </c:pt>
                <c:pt idx="143">
                  <c:v>28.798677907510601</c:v>
                </c:pt>
                <c:pt idx="144">
                  <c:v>28.800531254022918</c:v>
                </c:pt>
                <c:pt idx="145">
                  <c:v>28.802223608044059</c:v>
                </c:pt>
                <c:pt idx="146">
                  <c:v>28.803768937188394</c:v>
                </c:pt>
                <c:pt idx="147">
                  <c:v>28.805180000097927</c:v>
                </c:pt>
                <c:pt idx="148">
                  <c:v>28.806468450611153</c:v>
                </c:pt>
                <c:pt idx="149">
                  <c:v>28.807644933035419</c:v>
                </c:pt>
              </c:numCache>
            </c:numRef>
          </c:yVal>
          <c:smooth val="0"/>
          <c:extLst>
            <c:ext xmlns:c16="http://schemas.microsoft.com/office/drawing/2014/chart" uri="{C3380CC4-5D6E-409C-BE32-E72D297353CC}">
              <c16:uniqueId val="{00000002-2156-7B4E-862D-606714209A28}"/>
            </c:ext>
          </c:extLst>
        </c:ser>
        <c:dLbls>
          <c:showLegendKey val="0"/>
          <c:showVal val="0"/>
          <c:showCatName val="0"/>
          <c:showSerName val="0"/>
          <c:showPercent val="0"/>
          <c:showBubbleSize val="0"/>
        </c:dLbls>
        <c:axId val="286593488"/>
        <c:axId val="286671712"/>
      </c:scatterChart>
      <c:valAx>
        <c:axId val="2865934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671712"/>
        <c:crosses val="autoZero"/>
        <c:crossBetween val="midCat"/>
      </c:valAx>
      <c:valAx>
        <c:axId val="28667171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5934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oneCellAnchor>
    <xdr:from>
      <xdr:col>4</xdr:col>
      <xdr:colOff>234950</xdr:colOff>
      <xdr:row>6</xdr:row>
      <xdr:rowOff>111125</xdr:rowOff>
    </xdr:from>
    <xdr:ext cx="5041701" cy="564193"/>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571750" y="1025525"/>
          <a:ext cx="5041701" cy="5641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rial" panose="020B0604020202020204" pitchFamily="34" charset="0"/>
              <a:cs typeface="Arial" panose="020B0604020202020204" pitchFamily="34" charset="0"/>
            </a:rPr>
            <a:t>CycleRAP model</a:t>
          </a:r>
          <a:r>
            <a:rPr lang="en-GB" sz="3200" b="1" baseline="0">
              <a:latin typeface="Arial" panose="020B0604020202020204" pitchFamily="34" charset="0"/>
              <a:cs typeface="Arial" panose="020B0604020202020204" pitchFamily="34" charset="0"/>
            </a:rPr>
            <a:t> testbed</a:t>
          </a:r>
          <a:endParaRPr lang="en-GB" sz="1600" b="0">
            <a:latin typeface="Arial" panose="020B0604020202020204" pitchFamily="34" charset="0"/>
            <a:cs typeface="Arial" panose="020B0604020202020204" pitchFamily="34" charset="0"/>
          </a:endParaRPr>
        </a:p>
      </xdr:txBody>
    </xdr:sp>
    <xdr:clientData/>
  </xdr:oneCellAnchor>
  <xdr:twoCellAnchor>
    <xdr:from>
      <xdr:col>3</xdr:col>
      <xdr:colOff>142875</xdr:colOff>
      <xdr:row>17</xdr:row>
      <xdr:rowOff>9525</xdr:rowOff>
    </xdr:from>
    <xdr:to>
      <xdr:col>15</xdr:col>
      <xdr:colOff>57150</xdr:colOff>
      <xdr:row>23</xdr:row>
      <xdr:rowOff>142875</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1605915" y="2600325"/>
          <a:ext cx="5766435" cy="1047750"/>
          <a:chOff x="1685925" y="4429125"/>
          <a:chExt cx="6315075" cy="1047750"/>
        </a:xfrm>
      </xdr:grpSpPr>
      <xdr:sp macro="" textlink="">
        <xdr:nvSpPr>
          <xdr:cNvPr id="5" name="Rectangle: Rounded Corners 4">
            <a:extLst>
              <a:ext uri="{FF2B5EF4-FFF2-40B4-BE49-F238E27FC236}">
                <a16:creationId xmlns:a16="http://schemas.microsoft.com/office/drawing/2014/main" id="{00000000-0008-0000-0000-000005000000}"/>
              </a:ext>
            </a:extLst>
          </xdr:cNvPr>
          <xdr:cNvSpPr/>
        </xdr:nvSpPr>
        <xdr:spPr>
          <a:xfrm>
            <a:off x="1771650" y="4524375"/>
            <a:ext cx="6229350" cy="952500"/>
          </a:xfrm>
          <a:prstGeom prst="roundRect">
            <a:avLst>
              <a:gd name="adj" fmla="val 6990"/>
            </a:avLst>
          </a:prstGeom>
          <a:noFill/>
          <a:ln w="25400">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685925" y="4429125"/>
            <a:ext cx="960648" cy="264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Control Panel</a:t>
            </a:r>
          </a:p>
        </xdr:txBody>
      </xdr:sp>
    </xdr:grpSp>
    <xdr:clientData/>
  </xdr:twoCellAnchor>
  <xdr:twoCellAnchor>
    <xdr:from>
      <xdr:col>5</xdr:col>
      <xdr:colOff>558800</xdr:colOff>
      <xdr:row>19</xdr:row>
      <xdr:rowOff>38099</xdr:rowOff>
    </xdr:from>
    <xdr:to>
      <xdr:col>9</xdr:col>
      <xdr:colOff>84325</xdr:colOff>
      <xdr:row>22</xdr:row>
      <xdr:rowOff>138683</xdr:rowOff>
    </xdr:to>
    <xdr:sp macro="[0]!CalculateResults.CalculateResults" textlink="">
      <xdr:nvSpPr>
        <xdr:cNvPr id="8" name="Rectangle: Rounded Corners 7">
          <a:extLst>
            <a:ext uri="{FF2B5EF4-FFF2-40B4-BE49-F238E27FC236}">
              <a16:creationId xmlns:a16="http://schemas.microsoft.com/office/drawing/2014/main" id="{00000000-0008-0000-0000-000008000000}"/>
            </a:ext>
          </a:extLst>
        </xdr:cNvPr>
        <xdr:cNvSpPr/>
      </xdr:nvSpPr>
      <xdr:spPr>
        <a:xfrm>
          <a:off x="3479800" y="2933699"/>
          <a:ext cx="1862325" cy="557784"/>
        </a:xfrm>
        <a:prstGeom prst="roundRect">
          <a:avLst/>
        </a:prstGeom>
        <a:solidFill>
          <a:srgbClr val="FFC000"/>
        </a:solidFill>
        <a:ln>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GB" sz="1100">
              <a:solidFill>
                <a:sysClr val="windowText" lastClr="000000"/>
              </a:solidFill>
            </a:rPr>
            <a:t>Calculate</a:t>
          </a:r>
          <a:r>
            <a:rPr lang="en-GB" sz="1100" baseline="0">
              <a:solidFill>
                <a:sysClr val="windowText" lastClr="000000"/>
              </a:solidFill>
            </a:rPr>
            <a:t> CycleRAP Scores</a:t>
          </a:r>
        </a:p>
      </xdr:txBody>
    </xdr:sp>
    <xdr:clientData/>
  </xdr:twoCellAnchor>
  <xdr:twoCellAnchor editAs="oneCell">
    <xdr:from>
      <xdr:col>13</xdr:col>
      <xdr:colOff>292101</xdr:colOff>
      <xdr:row>3</xdr:row>
      <xdr:rowOff>0</xdr:rowOff>
    </xdr:from>
    <xdr:to>
      <xdr:col>18</xdr:col>
      <xdr:colOff>3176</xdr:colOff>
      <xdr:row>7</xdr:row>
      <xdr:rowOff>63500</xdr:rowOff>
    </xdr:to>
    <xdr:pic>
      <xdr:nvPicPr>
        <xdr:cNvPr id="11" name="Picture 10" descr="Logo&#10;&#10;Description automatically generated">
          <a:extLst>
            <a:ext uri="{FF2B5EF4-FFF2-40B4-BE49-F238E27FC236}">
              <a16:creationId xmlns:a16="http://schemas.microsoft.com/office/drawing/2014/main" id="{B69D89C3-7201-4B46-8F01-E33D8AA3CE56}"/>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0892" t="42200" r="9623" b="38708"/>
        <a:stretch/>
      </xdr:blipFill>
      <xdr:spPr bwMode="auto">
        <a:xfrm>
          <a:off x="7886701" y="457200"/>
          <a:ext cx="2590800" cy="6731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457200</xdr:colOff>
      <xdr:row>3</xdr:row>
      <xdr:rowOff>63500</xdr:rowOff>
    </xdr:from>
    <xdr:to>
      <xdr:col>4</xdr:col>
      <xdr:colOff>257176</xdr:colOff>
      <xdr:row>8</xdr:row>
      <xdr:rowOff>62954</xdr:rowOff>
    </xdr:to>
    <xdr:pic>
      <xdr:nvPicPr>
        <xdr:cNvPr id="12" name="Picture 11">
          <a:extLst>
            <a:ext uri="{FF2B5EF4-FFF2-40B4-BE49-F238E27FC236}">
              <a16:creationId xmlns:a16="http://schemas.microsoft.com/office/drawing/2014/main" id="{E2188BFD-F425-474D-B097-FE4A37646AF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57200" y="520700"/>
          <a:ext cx="2136776" cy="761454"/>
        </a:xfrm>
        <a:prstGeom prst="rect">
          <a:avLst/>
        </a:prstGeom>
      </xdr:spPr>
    </xdr:pic>
    <xdr:clientData/>
  </xdr:twoCellAnchor>
  <xdr:twoCellAnchor>
    <xdr:from>
      <xdr:col>3</xdr:col>
      <xdr:colOff>203200</xdr:colOff>
      <xdr:row>27</xdr:row>
      <xdr:rowOff>139700</xdr:rowOff>
    </xdr:from>
    <xdr:to>
      <xdr:col>15</xdr:col>
      <xdr:colOff>114300</xdr:colOff>
      <xdr:row>43</xdr:row>
      <xdr:rowOff>38100</xdr:rowOff>
    </xdr:to>
    <xdr:sp macro="" textlink="">
      <xdr:nvSpPr>
        <xdr:cNvPr id="3" name="TextBox 2">
          <a:extLst>
            <a:ext uri="{FF2B5EF4-FFF2-40B4-BE49-F238E27FC236}">
              <a16:creationId xmlns:a16="http://schemas.microsoft.com/office/drawing/2014/main" id="{C5847FC7-2F92-084C-9947-2B611AB74A7A}"/>
            </a:ext>
          </a:extLst>
        </xdr:cNvPr>
        <xdr:cNvSpPr txBox="1"/>
      </xdr:nvSpPr>
      <xdr:spPr>
        <a:xfrm>
          <a:off x="1955800" y="4254500"/>
          <a:ext cx="6921500" cy="233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 CycleRAP</a:t>
          </a:r>
          <a:r>
            <a:rPr lang="en-US" sz="1100" b="1" baseline="0"/>
            <a:t> testbed</a:t>
          </a:r>
        </a:p>
        <a:p>
          <a:endParaRPr lang="en-US" sz="1100"/>
        </a:p>
        <a:p>
          <a:r>
            <a:rPr lang="en-US" sz="1100"/>
            <a:t>1) Copy/paste your coding data into the </a:t>
          </a:r>
          <a:r>
            <a:rPr lang="en-US" sz="1100" i="1"/>
            <a:t>'Upload_data' </a:t>
          </a:r>
          <a:r>
            <a:rPr lang="en-US" sz="1100"/>
            <a:t>tab. Consult </a:t>
          </a:r>
          <a:r>
            <a:rPr lang="en-US" sz="1100" i="1"/>
            <a:t>'Upload_spec</a:t>
          </a:r>
          <a:r>
            <a:rPr lang="en-US" sz="1100"/>
            <a:t>' in case of any doubt regarding the coding numbers. </a:t>
          </a:r>
        </a:p>
        <a:p>
          <a:endParaRPr lang="en-US" sz="1100"/>
        </a:p>
        <a:p>
          <a:r>
            <a:rPr lang="en-US" sz="1100"/>
            <a:t>2) Return to this page (</a:t>
          </a:r>
          <a:r>
            <a:rPr lang="en-US" sz="1100" i="1"/>
            <a:t>Front_page</a:t>
          </a:r>
          <a:r>
            <a:rPr lang="en-US" sz="1100"/>
            <a:t>) and click on the yellow button (</a:t>
          </a:r>
          <a:r>
            <a:rPr lang="en-US" sz="1100" i="1"/>
            <a:t>Calculate Results</a:t>
          </a:r>
          <a:r>
            <a:rPr lang="en-US" sz="1100"/>
            <a:t>) to calculate CycleRAP Scoring.</a:t>
          </a:r>
        </a:p>
        <a:p>
          <a:endParaRPr lang="en-US" sz="1100"/>
        </a:p>
        <a:p>
          <a:r>
            <a:rPr lang="en-US" sz="1100"/>
            <a:t>3) Wait until the </a:t>
          </a:r>
          <a:r>
            <a:rPr lang="en-US" sz="1100" i="1"/>
            <a:t>'Process complete</a:t>
          </a:r>
          <a:r>
            <a:rPr lang="en-US" sz="1100"/>
            <a:t>' message. </a:t>
          </a:r>
        </a:p>
        <a:p>
          <a:endParaRPr lang="en-US" sz="1100"/>
        </a:p>
        <a:p>
          <a:r>
            <a:rPr lang="en-US" sz="1100"/>
            <a:t>4) Check the results in the '</a:t>
          </a:r>
          <a:r>
            <a:rPr lang="en-US" sz="1100" i="1"/>
            <a:t>Results</a:t>
          </a:r>
          <a:r>
            <a:rPr lang="en-US" sz="1100"/>
            <a:t>' tab. </a:t>
          </a:r>
        </a:p>
        <a:p>
          <a:endParaRPr lang="en-US" sz="1100"/>
        </a:p>
        <a:p>
          <a:r>
            <a:rPr lang="en-US" sz="1100"/>
            <a:t>*Grey buttons are temporarily unavailable. </a:t>
          </a:r>
        </a:p>
      </xdr:txBody>
    </xdr:sp>
    <xdr:clientData/>
  </xdr:twoCellAnchor>
  <xdr:oneCellAnchor>
    <xdr:from>
      <xdr:col>3</xdr:col>
      <xdr:colOff>317500</xdr:colOff>
      <xdr:row>10</xdr:row>
      <xdr:rowOff>127000</xdr:rowOff>
    </xdr:from>
    <xdr:ext cx="6019800" cy="505267"/>
    <xdr:sp macro="" textlink="">
      <xdr:nvSpPr>
        <xdr:cNvPr id="14" name="TextBox 13">
          <a:extLst>
            <a:ext uri="{FF2B5EF4-FFF2-40B4-BE49-F238E27FC236}">
              <a16:creationId xmlns:a16="http://schemas.microsoft.com/office/drawing/2014/main" id="{0E67D2A7-93BC-BD41-948E-62197AC953D2}"/>
            </a:ext>
          </a:extLst>
        </xdr:cNvPr>
        <xdr:cNvSpPr txBox="1"/>
      </xdr:nvSpPr>
      <xdr:spPr>
        <a:xfrm>
          <a:off x="2070100" y="1651000"/>
          <a:ext cx="6019800" cy="505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GB" sz="1400" b="0" baseline="0">
              <a:solidFill>
                <a:srgbClr val="FF0000"/>
              </a:solidFill>
              <a:latin typeface="Arial" panose="020B0604020202020204" pitchFamily="34" charset="0"/>
              <a:cs typeface="Arial" panose="020B0604020202020204" pitchFamily="34" charset="0"/>
            </a:rPr>
            <a:t>This file is provided for CycleRAP model testing only. </a:t>
          </a:r>
        </a:p>
        <a:p>
          <a:pPr algn="ctr"/>
          <a:r>
            <a:rPr lang="en-GB" sz="1400" b="0" baseline="0">
              <a:solidFill>
                <a:srgbClr val="FF0000"/>
              </a:solidFill>
              <a:latin typeface="Arial" panose="020B0604020202020204" pitchFamily="34" charset="0"/>
              <a:cs typeface="Arial" panose="020B0604020202020204" pitchFamily="34" charset="0"/>
            </a:rPr>
            <a:t>It must not be distributed or shared without prior permission of iRAP.</a:t>
          </a:r>
        </a:p>
      </xdr:txBody>
    </xdr:sp>
    <xdr:clientData/>
  </xdr:oneCellAnchor>
  <xdr:twoCellAnchor>
    <xdr:from>
      <xdr:col>9</xdr:col>
      <xdr:colOff>317500</xdr:colOff>
      <xdr:row>19</xdr:row>
      <xdr:rowOff>25399</xdr:rowOff>
    </xdr:from>
    <xdr:to>
      <xdr:col>12</xdr:col>
      <xdr:colOff>457200</xdr:colOff>
      <xdr:row>22</xdr:row>
      <xdr:rowOff>125983</xdr:rowOff>
    </xdr:to>
    <xdr:sp macro="[0]!srSTM" textlink="">
      <xdr:nvSpPr>
        <xdr:cNvPr id="4" name="Rectangle: Rounded Corners 7">
          <a:extLst>
            <a:ext uri="{FF2B5EF4-FFF2-40B4-BE49-F238E27FC236}">
              <a16:creationId xmlns:a16="http://schemas.microsoft.com/office/drawing/2014/main" id="{9763B085-D4EC-6B4C-A86A-D8299942DBDE}"/>
            </a:ext>
          </a:extLst>
        </xdr:cNvPr>
        <xdr:cNvSpPr/>
      </xdr:nvSpPr>
      <xdr:spPr>
        <a:xfrm>
          <a:off x="5575300" y="2920999"/>
          <a:ext cx="1892300" cy="557784"/>
        </a:xfrm>
        <a:prstGeom prst="roundRect">
          <a:avLst/>
        </a:prstGeom>
        <a:solidFill>
          <a:srgbClr val="FFC000"/>
        </a:solidFill>
        <a:ln>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GB" sz="1100">
              <a:solidFill>
                <a:sysClr val="windowText" lastClr="000000"/>
              </a:solidFill>
            </a:rPr>
            <a:t>Calculate</a:t>
          </a:r>
          <a:r>
            <a:rPr lang="en-GB" sz="1100" baseline="0">
              <a:solidFill>
                <a:sysClr val="windowText" lastClr="000000"/>
              </a:solidFill>
            </a:rPr>
            <a:t> Safety Treatment Recommendations</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1003300</xdr:colOff>
      <xdr:row>3</xdr:row>
      <xdr:rowOff>73025</xdr:rowOff>
    </xdr:from>
    <xdr:ext cx="4904932" cy="564193"/>
    <xdr:sp macro="" textlink="">
      <xdr:nvSpPr>
        <xdr:cNvPr id="6" name="TextBox 5">
          <a:extLst>
            <a:ext uri="{FF2B5EF4-FFF2-40B4-BE49-F238E27FC236}">
              <a16:creationId xmlns:a16="http://schemas.microsoft.com/office/drawing/2014/main" id="{42A8BB26-95A4-7B4D-8C22-99D60F1B13B2}"/>
            </a:ext>
          </a:extLst>
        </xdr:cNvPr>
        <xdr:cNvSpPr txBox="1"/>
      </xdr:nvSpPr>
      <xdr:spPr>
        <a:xfrm>
          <a:off x="3035300" y="530225"/>
          <a:ext cx="4904932" cy="5641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rial" panose="020B0604020202020204" pitchFamily="34" charset="0"/>
              <a:cs typeface="Arial" panose="020B0604020202020204" pitchFamily="34" charset="0"/>
            </a:rPr>
            <a:t>CycleRAP demonstrator</a:t>
          </a:r>
          <a:endParaRPr lang="en-GB" sz="1600" b="0">
            <a:latin typeface="Arial" panose="020B0604020202020204" pitchFamily="34" charset="0"/>
            <a:cs typeface="Arial" panose="020B0604020202020204" pitchFamily="34" charset="0"/>
          </a:endParaRPr>
        </a:p>
      </xdr:txBody>
    </xdr:sp>
    <xdr:clientData/>
  </xdr:oneCellAnchor>
  <xdr:oneCellAnchor>
    <xdr:from>
      <xdr:col>2</xdr:col>
      <xdr:colOff>1193800</xdr:colOff>
      <xdr:row>7</xdr:row>
      <xdr:rowOff>92075</xdr:rowOff>
    </xdr:from>
    <xdr:ext cx="6019800" cy="505267"/>
    <xdr:sp macro="" textlink="">
      <xdr:nvSpPr>
        <xdr:cNvPr id="7" name="TextBox 6">
          <a:extLst>
            <a:ext uri="{FF2B5EF4-FFF2-40B4-BE49-F238E27FC236}">
              <a16:creationId xmlns:a16="http://schemas.microsoft.com/office/drawing/2014/main" id="{60137382-2AD8-044B-8B8A-5573E0C515B9}"/>
            </a:ext>
          </a:extLst>
        </xdr:cNvPr>
        <xdr:cNvSpPr txBox="1"/>
      </xdr:nvSpPr>
      <xdr:spPr>
        <a:xfrm>
          <a:off x="3225800" y="1158875"/>
          <a:ext cx="6019800" cy="505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GB" sz="1400" b="0" baseline="0">
              <a:solidFill>
                <a:srgbClr val="FF0000"/>
              </a:solidFill>
              <a:latin typeface="Arial" panose="020B0604020202020204" pitchFamily="34" charset="0"/>
              <a:cs typeface="Arial" panose="020B0604020202020204" pitchFamily="34" charset="0"/>
            </a:rPr>
            <a:t>This file is provided for CycleRAP model testing only. </a:t>
          </a:r>
        </a:p>
        <a:p>
          <a:pPr algn="ctr"/>
          <a:r>
            <a:rPr lang="en-GB" sz="1400" b="0" baseline="0">
              <a:solidFill>
                <a:srgbClr val="FF0000"/>
              </a:solidFill>
              <a:latin typeface="Arial" panose="020B0604020202020204" pitchFamily="34" charset="0"/>
              <a:cs typeface="Arial" panose="020B0604020202020204" pitchFamily="34" charset="0"/>
            </a:rPr>
            <a:t>It must not be distributed or shared without prior permission of iRAP.</a:t>
          </a:r>
        </a:p>
      </xdr:txBody>
    </xdr:sp>
    <xdr:clientData/>
  </xdr:oneCellAnchor>
  <xdr:twoCellAnchor editAs="oneCell">
    <xdr:from>
      <xdr:col>8</xdr:col>
      <xdr:colOff>829734</xdr:colOff>
      <xdr:row>2</xdr:row>
      <xdr:rowOff>146051</xdr:rowOff>
    </xdr:from>
    <xdr:to>
      <xdr:col>11</xdr:col>
      <xdr:colOff>12701</xdr:colOff>
      <xdr:row>7</xdr:row>
      <xdr:rowOff>57150</xdr:rowOff>
    </xdr:to>
    <xdr:pic>
      <xdr:nvPicPr>
        <xdr:cNvPr id="8" name="Picture 7" descr="Logo&#10;&#10;Description automatically generated">
          <a:extLst>
            <a:ext uri="{FF2B5EF4-FFF2-40B4-BE49-F238E27FC236}">
              <a16:creationId xmlns:a16="http://schemas.microsoft.com/office/drawing/2014/main" id="{E65A7B1A-08D0-A04E-AD18-727D1677AD31}"/>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0892" t="42200" r="9623" b="38708"/>
        <a:stretch/>
      </xdr:blipFill>
      <xdr:spPr bwMode="auto">
        <a:xfrm>
          <a:off x="7952317" y="442384"/>
          <a:ext cx="2421467" cy="651933"/>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457200</xdr:colOff>
      <xdr:row>3</xdr:row>
      <xdr:rowOff>63500</xdr:rowOff>
    </xdr:from>
    <xdr:to>
      <xdr:col>2</xdr:col>
      <xdr:colOff>561976</xdr:colOff>
      <xdr:row>8</xdr:row>
      <xdr:rowOff>62954</xdr:rowOff>
    </xdr:to>
    <xdr:pic>
      <xdr:nvPicPr>
        <xdr:cNvPr id="9" name="Picture 8">
          <a:extLst>
            <a:ext uri="{FF2B5EF4-FFF2-40B4-BE49-F238E27FC236}">
              <a16:creationId xmlns:a16="http://schemas.microsoft.com/office/drawing/2014/main" id="{B0816AA9-4C32-D444-87AF-FAF874822E0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57200" y="520700"/>
          <a:ext cx="2136776" cy="761454"/>
        </a:xfrm>
        <a:prstGeom prst="rect">
          <a:avLst/>
        </a:prstGeom>
      </xdr:spPr>
    </xdr:pic>
    <xdr:clientData/>
  </xdr:twoCellAnchor>
  <xdr:twoCellAnchor editAs="oneCell">
    <xdr:from>
      <xdr:col>2</xdr:col>
      <xdr:colOff>304800</xdr:colOff>
      <xdr:row>14</xdr:row>
      <xdr:rowOff>12700</xdr:rowOff>
    </xdr:from>
    <xdr:to>
      <xdr:col>2</xdr:col>
      <xdr:colOff>1312545</xdr:colOff>
      <xdr:row>15</xdr:row>
      <xdr:rowOff>181610</xdr:rowOff>
    </xdr:to>
    <xdr:pic>
      <xdr:nvPicPr>
        <xdr:cNvPr id="10" name="Picture 9" descr="Icon&#10;&#10;Description automatically generated">
          <a:extLst>
            <a:ext uri="{FF2B5EF4-FFF2-40B4-BE49-F238E27FC236}">
              <a16:creationId xmlns:a16="http://schemas.microsoft.com/office/drawing/2014/main" id="{2D936281-712C-6243-8994-66CED2A59F78}"/>
            </a:ext>
          </a:extLst>
        </xdr:cNvPr>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336800" y="1917700"/>
          <a:ext cx="1007745" cy="562610"/>
        </a:xfrm>
        <a:prstGeom prst="rect">
          <a:avLst/>
        </a:prstGeom>
      </xdr:spPr>
    </xdr:pic>
    <xdr:clientData/>
  </xdr:twoCellAnchor>
  <xdr:twoCellAnchor editAs="oneCell">
    <xdr:from>
      <xdr:col>4</xdr:col>
      <xdr:colOff>279400</xdr:colOff>
      <xdr:row>13</xdr:row>
      <xdr:rowOff>127000</xdr:rowOff>
    </xdr:from>
    <xdr:to>
      <xdr:col>4</xdr:col>
      <xdr:colOff>1323340</xdr:colOff>
      <xdr:row>15</xdr:row>
      <xdr:rowOff>243840</xdr:rowOff>
    </xdr:to>
    <xdr:pic>
      <xdr:nvPicPr>
        <xdr:cNvPr id="11" name="Picture 10" descr="Icon&#10;&#10;Description automatically generated">
          <a:extLst>
            <a:ext uri="{FF2B5EF4-FFF2-40B4-BE49-F238E27FC236}">
              <a16:creationId xmlns:a16="http://schemas.microsoft.com/office/drawing/2014/main" id="{EB8DE502-5A33-1745-85B8-E765D54B480A}"/>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279900" y="1955800"/>
          <a:ext cx="1043940" cy="685165"/>
        </a:xfrm>
        <a:prstGeom prst="rect">
          <a:avLst/>
        </a:prstGeom>
      </xdr:spPr>
    </xdr:pic>
    <xdr:clientData/>
  </xdr:twoCellAnchor>
  <xdr:twoCellAnchor editAs="oneCell">
    <xdr:from>
      <xdr:col>6</xdr:col>
      <xdr:colOff>266700</xdr:colOff>
      <xdr:row>13</xdr:row>
      <xdr:rowOff>139700</xdr:rowOff>
    </xdr:from>
    <xdr:to>
      <xdr:col>6</xdr:col>
      <xdr:colOff>1283335</xdr:colOff>
      <xdr:row>16</xdr:row>
      <xdr:rowOff>12700</xdr:rowOff>
    </xdr:to>
    <xdr:pic>
      <xdr:nvPicPr>
        <xdr:cNvPr id="12" name="Picture 11" descr="Icon&#10;&#10;Description automatically generated">
          <a:extLst>
            <a:ext uri="{FF2B5EF4-FFF2-40B4-BE49-F238E27FC236}">
              <a16:creationId xmlns:a16="http://schemas.microsoft.com/office/drawing/2014/main" id="{2EE02599-D8D5-4141-B4EA-C4D0C82796B7}"/>
            </a:ext>
          </a:extLst>
        </xdr:cNvPr>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235700" y="1968500"/>
          <a:ext cx="1016635" cy="685800"/>
        </a:xfrm>
        <a:prstGeom prst="rect">
          <a:avLst/>
        </a:prstGeom>
      </xdr:spPr>
    </xdr:pic>
    <xdr:clientData/>
  </xdr:twoCellAnchor>
  <xdr:twoCellAnchor editAs="oneCell">
    <xdr:from>
      <xdr:col>8</xdr:col>
      <xdr:colOff>457200</xdr:colOff>
      <xdr:row>13</xdr:row>
      <xdr:rowOff>152400</xdr:rowOff>
    </xdr:from>
    <xdr:to>
      <xdr:col>8</xdr:col>
      <xdr:colOff>1212850</xdr:colOff>
      <xdr:row>15</xdr:row>
      <xdr:rowOff>240030</xdr:rowOff>
    </xdr:to>
    <xdr:pic>
      <xdr:nvPicPr>
        <xdr:cNvPr id="13" name="Picture 12" descr="Icon&#10;&#10;Description automatically generated">
          <a:extLst>
            <a:ext uri="{FF2B5EF4-FFF2-40B4-BE49-F238E27FC236}">
              <a16:creationId xmlns:a16="http://schemas.microsoft.com/office/drawing/2014/main" id="{3C350898-7F7D-9541-8995-9389FEBEFF36}"/>
            </a:ext>
          </a:extLst>
        </xdr:cNvPr>
        <xdr:cNvPicPr/>
      </xdr:nvPicPr>
      <xdr:blipFill>
        <a:blip xmlns:r="http://schemas.openxmlformats.org/officeDocument/2006/relationships" r:embed="rId6"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8394700" y="1981200"/>
          <a:ext cx="755650" cy="646430"/>
        </a:xfrm>
        <a:prstGeom prst="rect">
          <a:avLst/>
        </a:prstGeom>
      </xdr:spPr>
    </xdr:pic>
    <xdr:clientData/>
  </xdr:twoCellAnchor>
  <xdr:oneCellAnchor>
    <xdr:from>
      <xdr:col>11</xdr:col>
      <xdr:colOff>359834</xdr:colOff>
      <xdr:row>6</xdr:row>
      <xdr:rowOff>31750</xdr:rowOff>
    </xdr:from>
    <xdr:ext cx="2317750" cy="3429000"/>
    <xdr:sp macro="" textlink="">
      <xdr:nvSpPr>
        <xdr:cNvPr id="14" name="TextBox 13">
          <a:extLst>
            <a:ext uri="{FF2B5EF4-FFF2-40B4-BE49-F238E27FC236}">
              <a16:creationId xmlns:a16="http://schemas.microsoft.com/office/drawing/2014/main" id="{55775476-E574-7141-BA14-01BDD83B2750}"/>
            </a:ext>
          </a:extLst>
        </xdr:cNvPr>
        <xdr:cNvSpPr txBox="1"/>
      </xdr:nvSpPr>
      <xdr:spPr>
        <a:xfrm>
          <a:off x="10593917" y="920750"/>
          <a:ext cx="2317750" cy="3429000"/>
        </a:xfrm>
        <a:prstGeom prst="rect">
          <a:avLst/>
        </a:prstGeom>
        <a:solidFill>
          <a:schemeClr val="accent1">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endParaRPr lang="en-GB" sz="1400" b="1" baseline="0">
            <a:solidFill>
              <a:srgbClr val="FF0000"/>
            </a:solidFill>
            <a:latin typeface="Arial" panose="020B0604020202020204" pitchFamily="34" charset="0"/>
            <a:cs typeface="Arial" panose="020B0604020202020204" pitchFamily="34" charset="0"/>
          </a:endParaRPr>
        </a:p>
        <a:p>
          <a:pPr algn="ctr"/>
          <a:r>
            <a:rPr lang="en-GB" sz="1400" b="1" baseline="0">
              <a:solidFill>
                <a:srgbClr val="FF0000"/>
              </a:solidFill>
              <a:latin typeface="Arial" panose="020B0604020202020204" pitchFamily="34" charset="0"/>
              <a:cs typeface="Arial" panose="020B0604020202020204" pitchFamily="34" charset="0"/>
            </a:rPr>
            <a:t>Coding Panel</a:t>
          </a:r>
        </a:p>
        <a:p>
          <a:pPr algn="l"/>
          <a:endParaRPr lang="en-GB" sz="1400" b="1" baseline="0">
            <a:solidFill>
              <a:srgbClr val="FF0000"/>
            </a:solidFill>
            <a:latin typeface="Arial" panose="020B0604020202020204" pitchFamily="34" charset="0"/>
            <a:cs typeface="Arial" panose="020B0604020202020204" pitchFamily="34" charset="0"/>
          </a:endParaRPr>
        </a:p>
        <a:p>
          <a:pPr algn="l"/>
          <a:endParaRPr lang="en-GB" sz="1400" b="1" baseline="0">
            <a:solidFill>
              <a:srgbClr val="FF0000"/>
            </a:solidFill>
            <a:latin typeface="Arial" panose="020B0604020202020204" pitchFamily="34" charset="0"/>
            <a:cs typeface="Arial" panose="020B0604020202020204" pitchFamily="34" charset="0"/>
          </a:endParaRPr>
        </a:p>
        <a:p>
          <a:pPr algn="l"/>
          <a:endParaRPr lang="en-GB" sz="1400" b="1" baseline="0">
            <a:solidFill>
              <a:srgbClr val="FF0000"/>
            </a:solidFill>
            <a:latin typeface="Arial" panose="020B0604020202020204" pitchFamily="34" charset="0"/>
            <a:cs typeface="Arial" panose="020B0604020202020204" pitchFamily="34" charset="0"/>
          </a:endParaRPr>
        </a:p>
        <a:p>
          <a:pPr algn="l"/>
          <a:endParaRPr lang="en-GB" sz="1400" b="1" baseline="0">
            <a:solidFill>
              <a:srgbClr val="FF0000"/>
            </a:solidFill>
            <a:latin typeface="Arial" panose="020B0604020202020204" pitchFamily="34" charset="0"/>
            <a:cs typeface="Arial" panose="020B0604020202020204" pitchFamily="34" charset="0"/>
          </a:endParaRPr>
        </a:p>
        <a:p>
          <a:pPr algn="l"/>
          <a:endParaRPr lang="en-GB" sz="1400" b="1" baseline="0">
            <a:solidFill>
              <a:srgbClr val="FF0000"/>
            </a:solidFill>
            <a:latin typeface="Arial" panose="020B0604020202020204" pitchFamily="34" charset="0"/>
            <a:cs typeface="Arial" panose="020B0604020202020204" pitchFamily="34" charset="0"/>
          </a:endParaRPr>
        </a:p>
        <a:p>
          <a:pPr algn="l"/>
          <a:endParaRPr lang="en-GB" sz="1400" b="1" baseline="0">
            <a:solidFill>
              <a:srgbClr val="FF0000"/>
            </a:solidFill>
            <a:latin typeface="Arial" panose="020B0604020202020204" pitchFamily="34" charset="0"/>
            <a:cs typeface="Arial" panose="020B0604020202020204" pitchFamily="34" charset="0"/>
          </a:endParaRPr>
        </a:p>
        <a:p>
          <a:pPr algn="l"/>
          <a:endParaRPr lang="en-GB" sz="1400" b="1" baseline="0">
            <a:solidFill>
              <a:srgbClr val="FF0000"/>
            </a:solidFill>
            <a:latin typeface="Arial" panose="020B0604020202020204" pitchFamily="34" charset="0"/>
            <a:cs typeface="Arial" panose="020B0604020202020204" pitchFamily="34" charset="0"/>
          </a:endParaRPr>
        </a:p>
        <a:p>
          <a:pPr algn="l"/>
          <a:endParaRPr lang="en-GB" sz="1400" b="1" baseline="0">
            <a:solidFill>
              <a:srgbClr val="FF0000"/>
            </a:solidFill>
            <a:latin typeface="Arial" panose="020B0604020202020204" pitchFamily="34" charset="0"/>
            <a:cs typeface="Arial" panose="020B0604020202020204" pitchFamily="34" charset="0"/>
          </a:endParaRPr>
        </a:p>
        <a:p>
          <a:pPr algn="l"/>
          <a:endParaRPr lang="en-GB" sz="1400" b="1" baseline="0">
            <a:solidFill>
              <a:srgbClr val="FF0000"/>
            </a:solidFill>
            <a:latin typeface="Arial" panose="020B0604020202020204" pitchFamily="34" charset="0"/>
            <a:cs typeface="Arial" panose="020B0604020202020204" pitchFamily="34" charset="0"/>
          </a:endParaRPr>
        </a:p>
        <a:p>
          <a:pPr algn="l"/>
          <a:endParaRPr lang="en-GB" sz="1400" b="1" baseline="0">
            <a:solidFill>
              <a:srgbClr val="FF0000"/>
            </a:solidFill>
            <a:latin typeface="Arial" panose="020B0604020202020204" pitchFamily="34" charset="0"/>
            <a:cs typeface="Arial" panose="020B0604020202020204" pitchFamily="34" charset="0"/>
          </a:endParaRPr>
        </a:p>
        <a:p>
          <a:pPr algn="ctr"/>
          <a:endParaRPr lang="en-GB" sz="1200" b="1" baseline="0">
            <a:solidFill>
              <a:srgbClr val="FF0000"/>
            </a:solidFill>
            <a:latin typeface="Arial" panose="020B0604020202020204" pitchFamily="34" charset="0"/>
            <a:cs typeface="Arial" panose="020B0604020202020204" pitchFamily="34" charset="0"/>
          </a:endParaRPr>
        </a:p>
        <a:p>
          <a:pPr algn="ctr"/>
          <a:r>
            <a:rPr lang="en-GB" sz="1200" b="1" baseline="0">
              <a:solidFill>
                <a:srgbClr val="FF0000"/>
              </a:solidFill>
              <a:latin typeface="Arial" panose="020B0604020202020204" pitchFamily="34" charset="0"/>
              <a:cs typeface="Arial" panose="020B0604020202020204" pitchFamily="34" charset="0"/>
            </a:rPr>
            <a:t>Note: </a:t>
          </a:r>
          <a:r>
            <a:rPr lang="en-GB" sz="1200" b="0" baseline="0">
              <a:solidFill>
                <a:srgbClr val="FF0000"/>
              </a:solidFill>
              <a:latin typeface="Arial" panose="020B0604020202020204" pitchFamily="34" charset="0"/>
              <a:cs typeface="Arial" panose="020B0604020202020204" pitchFamily="34" charset="0"/>
            </a:rPr>
            <a:t>Please access the </a:t>
          </a:r>
          <a:r>
            <a:rPr lang="en-GB" sz="1200" b="0" i="1" baseline="0">
              <a:solidFill>
                <a:srgbClr val="FF0000"/>
              </a:solidFill>
              <a:latin typeface="Arial" panose="020B0604020202020204" pitchFamily="34" charset="0"/>
              <a:cs typeface="Arial" panose="020B0604020202020204" pitchFamily="34" charset="0"/>
            </a:rPr>
            <a:t>CycleRap User Guide </a:t>
          </a:r>
          <a:r>
            <a:rPr lang="en-GB" sz="1200" b="0" baseline="0">
              <a:solidFill>
                <a:srgbClr val="FF0000"/>
              </a:solidFill>
              <a:latin typeface="Arial" panose="020B0604020202020204" pitchFamily="34" charset="0"/>
              <a:cs typeface="Arial" panose="020B0604020202020204" pitchFamily="34" charset="0"/>
            </a:rPr>
            <a:t>for instructions on how to code.</a:t>
          </a:r>
        </a:p>
      </xdr:txBody>
    </xdr:sp>
    <xdr:clientData/>
  </xdr:oneCellAnchor>
  <xdr:twoCellAnchor>
    <xdr:from>
      <xdr:col>11</xdr:col>
      <xdr:colOff>825500</xdr:colOff>
      <xdr:row>10</xdr:row>
      <xdr:rowOff>63500</xdr:rowOff>
    </xdr:from>
    <xdr:to>
      <xdr:col>11</xdr:col>
      <xdr:colOff>2487084</xdr:colOff>
      <xdr:row>14</xdr:row>
      <xdr:rowOff>370417</xdr:rowOff>
    </xdr:to>
    <xdr:sp macro="[0]!srClean" textlink="">
      <xdr:nvSpPr>
        <xdr:cNvPr id="4" name="Retângulo: Cantos Arredondados 3">
          <a:extLst>
            <a:ext uri="{FF2B5EF4-FFF2-40B4-BE49-F238E27FC236}">
              <a16:creationId xmlns:a16="http://schemas.microsoft.com/office/drawing/2014/main" id="{2C5BE00E-DC41-984F-35D6-AFFA0978327D}"/>
            </a:ext>
          </a:extLst>
        </xdr:cNvPr>
        <xdr:cNvSpPr/>
      </xdr:nvSpPr>
      <xdr:spPr>
        <a:xfrm>
          <a:off x="11186583" y="1545167"/>
          <a:ext cx="1661584" cy="762000"/>
        </a:xfrm>
        <a:prstGeom prst="round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a:solidFill>
              <a:sysClr val="windowText" lastClr="000000"/>
            </a:solidFill>
          </a:endParaRPr>
        </a:p>
        <a:p>
          <a:pPr algn="ctr"/>
          <a:r>
            <a:rPr lang="en-US" sz="1200">
              <a:solidFill>
                <a:schemeClr val="bg1"/>
              </a:solidFill>
            </a:rPr>
            <a:t>Clean</a:t>
          </a:r>
          <a:r>
            <a:rPr lang="en-US" sz="1200" baseline="0">
              <a:solidFill>
                <a:schemeClr val="bg1"/>
              </a:solidFill>
            </a:rPr>
            <a:t> results and upload data</a:t>
          </a:r>
          <a:endParaRPr lang="en-US" sz="1100">
            <a:solidFill>
              <a:schemeClr val="bg1"/>
            </a:solidFill>
          </a:endParaRPr>
        </a:p>
      </xdr:txBody>
    </xdr:sp>
    <xdr:clientData/>
  </xdr:twoCellAnchor>
  <xdr:twoCellAnchor>
    <xdr:from>
      <xdr:col>11</xdr:col>
      <xdr:colOff>840317</xdr:colOff>
      <xdr:row>15</xdr:row>
      <xdr:rowOff>88901</xdr:rowOff>
    </xdr:from>
    <xdr:to>
      <xdr:col>11</xdr:col>
      <xdr:colOff>2487083</xdr:colOff>
      <xdr:row>17</xdr:row>
      <xdr:rowOff>338666</xdr:rowOff>
    </xdr:to>
    <xdr:sp macro="[0]!SaveCodingData" textlink="">
      <xdr:nvSpPr>
        <xdr:cNvPr id="5" name="Retângulo: Cantos Arredondados 4">
          <a:extLst>
            <a:ext uri="{FF2B5EF4-FFF2-40B4-BE49-F238E27FC236}">
              <a16:creationId xmlns:a16="http://schemas.microsoft.com/office/drawing/2014/main" id="{B65E77F8-DBBF-41B8-8957-F0BC8FC300E4}"/>
            </a:ext>
          </a:extLst>
        </xdr:cNvPr>
        <xdr:cNvSpPr/>
      </xdr:nvSpPr>
      <xdr:spPr>
        <a:xfrm>
          <a:off x="11201400" y="2417234"/>
          <a:ext cx="1646766" cy="831849"/>
        </a:xfrm>
        <a:prstGeom prst="round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a:solidFill>
              <a:sysClr val="windowText" lastClr="000000"/>
            </a:solidFill>
          </a:endParaRPr>
        </a:p>
        <a:p>
          <a:pPr algn="ctr"/>
          <a:r>
            <a:rPr lang="en-US" sz="1200" b="0">
              <a:solidFill>
                <a:schemeClr val="bg1"/>
              </a:solidFill>
            </a:rPr>
            <a:t>Record data in the results</a:t>
          </a:r>
          <a:r>
            <a:rPr lang="en-US" sz="1200" b="0" baseline="0">
              <a:solidFill>
                <a:schemeClr val="bg1"/>
              </a:solidFill>
            </a:rPr>
            <a:t> tab</a:t>
          </a:r>
          <a:endParaRPr lang="en-US" sz="1200" b="0">
            <a:solidFill>
              <a:schemeClr val="bg1"/>
            </a:solidFill>
          </a:endParaRPr>
        </a:p>
      </xdr:txBody>
    </xdr:sp>
    <xdr:clientData/>
  </xdr:twoCellAnchor>
  <xdr:oneCellAnchor>
    <xdr:from>
      <xdr:col>11</xdr:col>
      <xdr:colOff>423334</xdr:colOff>
      <xdr:row>12</xdr:row>
      <xdr:rowOff>52916</xdr:rowOff>
    </xdr:from>
    <xdr:ext cx="473528" cy="342786"/>
    <xdr:sp macro="" textlink="">
      <xdr:nvSpPr>
        <xdr:cNvPr id="2" name="CaixaDeTexto 1">
          <a:extLst>
            <a:ext uri="{FF2B5EF4-FFF2-40B4-BE49-F238E27FC236}">
              <a16:creationId xmlns:a16="http://schemas.microsoft.com/office/drawing/2014/main" id="{C920DACA-2453-8D84-E1A5-54FF59049FC5}"/>
            </a:ext>
          </a:extLst>
        </xdr:cNvPr>
        <xdr:cNvSpPr txBox="1"/>
      </xdr:nvSpPr>
      <xdr:spPr>
        <a:xfrm>
          <a:off x="10784417" y="1756833"/>
          <a:ext cx="473528"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1st</a:t>
          </a:r>
          <a:r>
            <a:rPr lang="en-US" sz="1100"/>
            <a:t> </a:t>
          </a:r>
        </a:p>
      </xdr:txBody>
    </xdr:sp>
    <xdr:clientData/>
  </xdr:oneCellAnchor>
  <xdr:oneCellAnchor>
    <xdr:from>
      <xdr:col>11</xdr:col>
      <xdr:colOff>374652</xdr:colOff>
      <xdr:row>16</xdr:row>
      <xdr:rowOff>67733</xdr:rowOff>
    </xdr:from>
    <xdr:ext cx="540725" cy="342786"/>
    <xdr:sp macro="" textlink="">
      <xdr:nvSpPr>
        <xdr:cNvPr id="3" name="CaixaDeTexto 2">
          <a:extLst>
            <a:ext uri="{FF2B5EF4-FFF2-40B4-BE49-F238E27FC236}">
              <a16:creationId xmlns:a16="http://schemas.microsoft.com/office/drawing/2014/main" id="{A91AE706-85CE-4FC2-B873-AC62ECDC91F6}"/>
            </a:ext>
          </a:extLst>
        </xdr:cNvPr>
        <xdr:cNvSpPr txBox="1"/>
      </xdr:nvSpPr>
      <xdr:spPr>
        <a:xfrm>
          <a:off x="10735735" y="2650066"/>
          <a:ext cx="540725"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2nd</a:t>
          </a:r>
          <a:r>
            <a:rPr lang="en-US" sz="1100"/>
            <a:t> </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70</xdr:col>
      <xdr:colOff>123823</xdr:colOff>
      <xdr:row>2</xdr:row>
      <xdr:rowOff>19047</xdr:rowOff>
    </xdr:from>
    <xdr:to>
      <xdr:col>71</xdr:col>
      <xdr:colOff>37352</xdr:colOff>
      <xdr:row>50</xdr:row>
      <xdr:rowOff>0</xdr:rowOff>
    </xdr:to>
    <xdr:sp macro="" textlink="">
      <xdr:nvSpPr>
        <xdr:cNvPr id="36" name="Right Brace 35">
          <a:extLst>
            <a:ext uri="{FF2B5EF4-FFF2-40B4-BE49-F238E27FC236}">
              <a16:creationId xmlns:a16="http://schemas.microsoft.com/office/drawing/2014/main" id="{00000000-0008-0000-0400-000024000000}"/>
            </a:ext>
          </a:extLst>
        </xdr:cNvPr>
        <xdr:cNvSpPr/>
      </xdr:nvSpPr>
      <xdr:spPr>
        <a:xfrm flipH="1">
          <a:off x="29131163" y="937770"/>
          <a:ext cx="359380" cy="9708613"/>
        </a:xfrm>
        <a:prstGeom prst="rightBrace">
          <a:avLst>
            <a:gd name="adj1" fmla="val 14150"/>
            <a:gd name="adj2" fmla="val 20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88</xdr:col>
      <xdr:colOff>108227</xdr:colOff>
      <xdr:row>2</xdr:row>
      <xdr:rowOff>9525</xdr:rowOff>
    </xdr:from>
    <xdr:to>
      <xdr:col>88</xdr:col>
      <xdr:colOff>438718</xdr:colOff>
      <xdr:row>23</xdr:row>
      <xdr:rowOff>12700</xdr:rowOff>
    </xdr:to>
    <xdr:sp macro="" textlink="">
      <xdr:nvSpPr>
        <xdr:cNvPr id="35" name="Right Brace 34">
          <a:extLst>
            <a:ext uri="{FF2B5EF4-FFF2-40B4-BE49-F238E27FC236}">
              <a16:creationId xmlns:a16="http://schemas.microsoft.com/office/drawing/2014/main" id="{00000000-0008-0000-0400-000023000000}"/>
            </a:ext>
          </a:extLst>
        </xdr:cNvPr>
        <xdr:cNvSpPr/>
      </xdr:nvSpPr>
      <xdr:spPr>
        <a:xfrm flipH="1">
          <a:off x="39300427" y="923925"/>
          <a:ext cx="330491" cy="4270375"/>
        </a:xfrm>
        <a:prstGeom prst="rightBrace">
          <a:avLst>
            <a:gd name="adj1" fmla="val 14150"/>
            <a:gd name="adj2" fmla="val 1793"/>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91</xdr:col>
      <xdr:colOff>137391</xdr:colOff>
      <xdr:row>2</xdr:row>
      <xdr:rowOff>1</xdr:rowOff>
    </xdr:from>
    <xdr:to>
      <xdr:col>92</xdr:col>
      <xdr:colOff>23091</xdr:colOff>
      <xdr:row>10</xdr:row>
      <xdr:rowOff>11547</xdr:rowOff>
    </xdr:to>
    <xdr:sp macro="" textlink="">
      <xdr:nvSpPr>
        <xdr:cNvPr id="4" name="Right Brace 3">
          <a:extLst>
            <a:ext uri="{FF2B5EF4-FFF2-40B4-BE49-F238E27FC236}">
              <a16:creationId xmlns:a16="http://schemas.microsoft.com/office/drawing/2014/main" id="{00000000-0008-0000-0400-000004000000}"/>
            </a:ext>
          </a:extLst>
        </xdr:cNvPr>
        <xdr:cNvSpPr/>
      </xdr:nvSpPr>
      <xdr:spPr>
        <a:xfrm flipH="1">
          <a:off x="48097209" y="692728"/>
          <a:ext cx="335973" cy="1674092"/>
        </a:xfrm>
        <a:prstGeom prst="rightBrace">
          <a:avLst>
            <a:gd name="adj1" fmla="val 14150"/>
            <a:gd name="adj2" fmla="val 396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37</xdr:col>
      <xdr:colOff>47625</xdr:colOff>
      <xdr:row>6</xdr:row>
      <xdr:rowOff>9525</xdr:rowOff>
    </xdr:from>
    <xdr:to>
      <xdr:col>47</xdr:col>
      <xdr:colOff>76200</xdr:colOff>
      <xdr:row>13</xdr:row>
      <xdr:rowOff>9525</xdr:rowOff>
    </xdr:to>
    <xdr:sp macro="" textlink="">
      <xdr:nvSpPr>
        <xdr:cNvPr id="2" name="Arrow: Right 1">
          <a:extLst>
            <a:ext uri="{FF2B5EF4-FFF2-40B4-BE49-F238E27FC236}">
              <a16:creationId xmlns:a16="http://schemas.microsoft.com/office/drawing/2014/main" id="{00000000-0008-0000-0400-000002000000}"/>
            </a:ext>
          </a:extLst>
        </xdr:cNvPr>
        <xdr:cNvSpPr/>
      </xdr:nvSpPr>
      <xdr:spPr>
        <a:xfrm>
          <a:off x="30137100" y="1028700"/>
          <a:ext cx="2028825" cy="1066800"/>
        </a:xfrm>
        <a:prstGeom prst="rightArrow">
          <a:avLst>
            <a:gd name="adj1" fmla="val 50000"/>
            <a:gd name="adj2" fmla="val 55357"/>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GB" sz="1100"/>
            <a:t>Ignore</a:t>
          </a:r>
          <a:r>
            <a:rPr lang="en-GB" sz="1100" baseline="0"/>
            <a:t> this space</a:t>
          </a:r>
        </a:p>
        <a:p>
          <a:pPr algn="ctr"/>
          <a:r>
            <a:rPr lang="en-GB" sz="1100" baseline="0"/>
            <a:t>(used further down)</a:t>
          </a:r>
        </a:p>
      </xdr:txBody>
    </xdr:sp>
    <xdr:clientData/>
  </xdr:twoCellAnchor>
  <xdr:twoCellAnchor>
    <xdr:from>
      <xdr:col>95</xdr:col>
      <xdr:colOff>103904</xdr:colOff>
      <xdr:row>2</xdr:row>
      <xdr:rowOff>0</xdr:rowOff>
    </xdr:from>
    <xdr:to>
      <xdr:col>96</xdr:col>
      <xdr:colOff>23085</xdr:colOff>
      <xdr:row>14</xdr:row>
      <xdr:rowOff>11546</xdr:rowOff>
    </xdr:to>
    <xdr:sp macro="" textlink="">
      <xdr:nvSpPr>
        <xdr:cNvPr id="121" name="Right Brace 120">
          <a:extLst>
            <a:ext uri="{FF2B5EF4-FFF2-40B4-BE49-F238E27FC236}">
              <a16:creationId xmlns:a16="http://schemas.microsoft.com/office/drawing/2014/main" id="{F8EF2C9F-F862-144B-B976-6EA3EAC6685B}"/>
            </a:ext>
          </a:extLst>
        </xdr:cNvPr>
        <xdr:cNvSpPr/>
      </xdr:nvSpPr>
      <xdr:spPr>
        <a:xfrm flipH="1">
          <a:off x="46124086" y="912091"/>
          <a:ext cx="427181" cy="2505364"/>
        </a:xfrm>
        <a:prstGeom prst="rightBrace">
          <a:avLst>
            <a:gd name="adj1" fmla="val 14150"/>
            <a:gd name="adj2" fmla="val 396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95</xdr:col>
      <xdr:colOff>184727</xdr:colOff>
      <xdr:row>5</xdr:row>
      <xdr:rowOff>34636</xdr:rowOff>
    </xdr:from>
    <xdr:to>
      <xdr:col>95</xdr:col>
      <xdr:colOff>426594</xdr:colOff>
      <xdr:row>6</xdr:row>
      <xdr:rowOff>42893</xdr:rowOff>
    </xdr:to>
    <xdr:sp macro="" textlink="">
      <xdr:nvSpPr>
        <xdr:cNvPr id="122" name="Multiply 4">
          <a:extLst>
            <a:ext uri="{FF2B5EF4-FFF2-40B4-BE49-F238E27FC236}">
              <a16:creationId xmlns:a16="http://schemas.microsoft.com/office/drawing/2014/main" id="{9598AB7C-23A8-2745-9562-86E82FCD1E6C}"/>
            </a:ext>
          </a:extLst>
        </xdr:cNvPr>
        <xdr:cNvSpPr/>
      </xdr:nvSpPr>
      <xdr:spPr>
        <a:xfrm>
          <a:off x="52693454" y="1350818"/>
          <a:ext cx="241867" cy="216075"/>
        </a:xfrm>
        <a:prstGeom prst="mathMultiply">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GB"/>
        </a:p>
      </xdr:txBody>
    </xdr:sp>
    <xdr:clientData/>
  </xdr:twoCellAnchor>
  <xdr:twoCellAnchor>
    <xdr:from>
      <xdr:col>91</xdr:col>
      <xdr:colOff>139700</xdr:colOff>
      <xdr:row>15</xdr:row>
      <xdr:rowOff>13855</xdr:rowOff>
    </xdr:from>
    <xdr:to>
      <xdr:col>92</xdr:col>
      <xdr:colOff>25400</xdr:colOff>
      <xdr:row>18</xdr:row>
      <xdr:rowOff>11546</xdr:rowOff>
    </xdr:to>
    <xdr:sp macro="" textlink="">
      <xdr:nvSpPr>
        <xdr:cNvPr id="124" name="Right Brace 123">
          <a:extLst>
            <a:ext uri="{FF2B5EF4-FFF2-40B4-BE49-F238E27FC236}">
              <a16:creationId xmlns:a16="http://schemas.microsoft.com/office/drawing/2014/main" id="{4E0EBD63-0D57-314B-B909-50C58524A3F0}"/>
            </a:ext>
          </a:extLst>
        </xdr:cNvPr>
        <xdr:cNvSpPr/>
      </xdr:nvSpPr>
      <xdr:spPr>
        <a:xfrm flipH="1">
          <a:off x="48099518" y="2784764"/>
          <a:ext cx="335973" cy="621146"/>
        </a:xfrm>
        <a:prstGeom prst="rightBrace">
          <a:avLst>
            <a:gd name="adj1" fmla="val 14150"/>
            <a:gd name="adj2" fmla="val 396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95</xdr:col>
      <xdr:colOff>183165</xdr:colOff>
      <xdr:row>15</xdr:row>
      <xdr:rowOff>2310</xdr:rowOff>
    </xdr:from>
    <xdr:to>
      <xdr:col>96</xdr:col>
      <xdr:colOff>13855</xdr:colOff>
      <xdr:row>23</xdr:row>
      <xdr:rowOff>0</xdr:rowOff>
    </xdr:to>
    <xdr:sp macro="" textlink="">
      <xdr:nvSpPr>
        <xdr:cNvPr id="127" name="Right Brace 126">
          <a:extLst>
            <a:ext uri="{FF2B5EF4-FFF2-40B4-BE49-F238E27FC236}">
              <a16:creationId xmlns:a16="http://schemas.microsoft.com/office/drawing/2014/main" id="{8A160D8D-585D-0D4F-B6DD-92833B1458CF}"/>
            </a:ext>
          </a:extLst>
        </xdr:cNvPr>
        <xdr:cNvSpPr/>
      </xdr:nvSpPr>
      <xdr:spPr>
        <a:xfrm flipH="1">
          <a:off x="52033801" y="2992583"/>
          <a:ext cx="338690" cy="1660235"/>
        </a:xfrm>
        <a:prstGeom prst="rightBrace">
          <a:avLst>
            <a:gd name="adj1" fmla="val 14150"/>
            <a:gd name="adj2" fmla="val 396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95</xdr:col>
      <xdr:colOff>233220</xdr:colOff>
      <xdr:row>20</xdr:row>
      <xdr:rowOff>60036</xdr:rowOff>
    </xdr:from>
    <xdr:to>
      <xdr:col>95</xdr:col>
      <xdr:colOff>475087</xdr:colOff>
      <xdr:row>21</xdr:row>
      <xdr:rowOff>126021</xdr:rowOff>
    </xdr:to>
    <xdr:sp macro="" textlink="">
      <xdr:nvSpPr>
        <xdr:cNvPr id="128" name="Multiply 4">
          <a:extLst>
            <a:ext uri="{FF2B5EF4-FFF2-40B4-BE49-F238E27FC236}">
              <a16:creationId xmlns:a16="http://schemas.microsoft.com/office/drawing/2014/main" id="{357F5F8B-EA9C-0E4B-B5C8-51539E44BAF4}"/>
            </a:ext>
          </a:extLst>
        </xdr:cNvPr>
        <xdr:cNvSpPr/>
      </xdr:nvSpPr>
      <xdr:spPr>
        <a:xfrm>
          <a:off x="52741947" y="3662218"/>
          <a:ext cx="241867" cy="273803"/>
        </a:xfrm>
        <a:prstGeom prst="mathMultiply">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GB"/>
        </a:p>
      </xdr:txBody>
    </xdr:sp>
    <xdr:clientData/>
  </xdr:twoCellAnchor>
  <xdr:twoCellAnchor>
    <xdr:from>
      <xdr:col>95</xdr:col>
      <xdr:colOff>194711</xdr:colOff>
      <xdr:row>24</xdr:row>
      <xdr:rowOff>2308</xdr:rowOff>
    </xdr:from>
    <xdr:to>
      <xdr:col>96</xdr:col>
      <xdr:colOff>25401</xdr:colOff>
      <xdr:row>29</xdr:row>
      <xdr:rowOff>203199</xdr:rowOff>
    </xdr:to>
    <xdr:sp macro="" textlink="">
      <xdr:nvSpPr>
        <xdr:cNvPr id="133" name="Right Brace 132">
          <a:extLst>
            <a:ext uri="{FF2B5EF4-FFF2-40B4-BE49-F238E27FC236}">
              <a16:creationId xmlns:a16="http://schemas.microsoft.com/office/drawing/2014/main" id="{1E685401-A36A-E948-A2A7-7292EEF7568F}"/>
            </a:ext>
          </a:extLst>
        </xdr:cNvPr>
        <xdr:cNvSpPr/>
      </xdr:nvSpPr>
      <xdr:spPr>
        <a:xfrm flipH="1">
          <a:off x="45990911" y="5387108"/>
          <a:ext cx="338690" cy="1216891"/>
        </a:xfrm>
        <a:prstGeom prst="rightBrace">
          <a:avLst>
            <a:gd name="adj1" fmla="val 14150"/>
            <a:gd name="adj2" fmla="val 396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95</xdr:col>
      <xdr:colOff>244766</xdr:colOff>
      <xdr:row>27</xdr:row>
      <xdr:rowOff>2310</xdr:rowOff>
    </xdr:from>
    <xdr:to>
      <xdr:col>95</xdr:col>
      <xdr:colOff>486633</xdr:colOff>
      <xdr:row>28</xdr:row>
      <xdr:rowOff>68295</xdr:rowOff>
    </xdr:to>
    <xdr:sp macro="" textlink="">
      <xdr:nvSpPr>
        <xdr:cNvPr id="134" name="Multiply 4">
          <a:extLst>
            <a:ext uri="{FF2B5EF4-FFF2-40B4-BE49-F238E27FC236}">
              <a16:creationId xmlns:a16="http://schemas.microsoft.com/office/drawing/2014/main" id="{8D484B38-667E-2D43-8208-31C3AC4311B0}"/>
            </a:ext>
          </a:extLst>
        </xdr:cNvPr>
        <xdr:cNvSpPr/>
      </xdr:nvSpPr>
      <xdr:spPr>
        <a:xfrm>
          <a:off x="46264948" y="5902037"/>
          <a:ext cx="241867" cy="273803"/>
        </a:xfrm>
        <a:prstGeom prst="mathMultiply">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GB"/>
        </a:p>
      </xdr:txBody>
    </xdr:sp>
    <xdr:clientData/>
  </xdr:twoCellAnchor>
  <xdr:twoCellAnchor>
    <xdr:from>
      <xdr:col>73</xdr:col>
      <xdr:colOff>46184</xdr:colOff>
      <xdr:row>2</xdr:row>
      <xdr:rowOff>127000</xdr:rowOff>
    </xdr:from>
    <xdr:to>
      <xdr:col>73</xdr:col>
      <xdr:colOff>415638</xdr:colOff>
      <xdr:row>2</xdr:row>
      <xdr:rowOff>127000</xdr:rowOff>
    </xdr:to>
    <xdr:cxnSp macro="">
      <xdr:nvCxnSpPr>
        <xdr:cNvPr id="138" name="Straight Arrow Connector 137">
          <a:extLst>
            <a:ext uri="{FF2B5EF4-FFF2-40B4-BE49-F238E27FC236}">
              <a16:creationId xmlns:a16="http://schemas.microsoft.com/office/drawing/2014/main" id="{9DD64234-3998-1144-89B0-B386FFDCE138}"/>
            </a:ext>
          </a:extLst>
        </xdr:cNvPr>
        <xdr:cNvCxnSpPr/>
      </xdr:nvCxnSpPr>
      <xdr:spPr>
        <a:xfrm flipH="1">
          <a:off x="32766002" y="819727"/>
          <a:ext cx="369454"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138546</xdr:colOff>
      <xdr:row>2</xdr:row>
      <xdr:rowOff>115456</xdr:rowOff>
    </xdr:from>
    <xdr:to>
      <xdr:col>81</xdr:col>
      <xdr:colOff>230909</xdr:colOff>
      <xdr:row>2</xdr:row>
      <xdr:rowOff>127000</xdr:rowOff>
    </xdr:to>
    <xdr:cxnSp macro="">
      <xdr:nvCxnSpPr>
        <xdr:cNvPr id="139" name="Straight Arrow Connector 138">
          <a:extLst>
            <a:ext uri="{FF2B5EF4-FFF2-40B4-BE49-F238E27FC236}">
              <a16:creationId xmlns:a16="http://schemas.microsoft.com/office/drawing/2014/main" id="{3171AEB5-0B8C-5B48-B95B-7F8B08E89AD4}"/>
            </a:ext>
          </a:extLst>
        </xdr:cNvPr>
        <xdr:cNvCxnSpPr/>
      </xdr:nvCxnSpPr>
      <xdr:spPr>
        <a:xfrm flipH="1" flipV="1">
          <a:off x="30514637" y="1027547"/>
          <a:ext cx="3983181" cy="1154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116608</xdr:colOff>
      <xdr:row>7</xdr:row>
      <xdr:rowOff>2310</xdr:rowOff>
    </xdr:from>
    <xdr:to>
      <xdr:col>77</xdr:col>
      <xdr:colOff>2309</xdr:colOff>
      <xdr:row>9</xdr:row>
      <xdr:rowOff>0</xdr:rowOff>
    </xdr:to>
    <xdr:sp macro="" textlink="">
      <xdr:nvSpPr>
        <xdr:cNvPr id="160" name="Right Brace 159">
          <a:extLst>
            <a:ext uri="{FF2B5EF4-FFF2-40B4-BE49-F238E27FC236}">
              <a16:creationId xmlns:a16="http://schemas.microsoft.com/office/drawing/2014/main" id="{9649B9C4-765D-974B-9A41-73141D67E95D}"/>
            </a:ext>
          </a:extLst>
        </xdr:cNvPr>
        <xdr:cNvSpPr/>
      </xdr:nvSpPr>
      <xdr:spPr>
        <a:xfrm flipH="1">
          <a:off x="30492699" y="1953492"/>
          <a:ext cx="335974" cy="413326"/>
        </a:xfrm>
        <a:prstGeom prst="rightBrace">
          <a:avLst>
            <a:gd name="adj1" fmla="val 14150"/>
            <a:gd name="adj2" fmla="val 31895"/>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82</xdr:col>
      <xdr:colOff>128152</xdr:colOff>
      <xdr:row>2</xdr:row>
      <xdr:rowOff>2309</xdr:rowOff>
    </xdr:from>
    <xdr:to>
      <xdr:col>83</xdr:col>
      <xdr:colOff>13854</xdr:colOff>
      <xdr:row>5</xdr:row>
      <xdr:rowOff>196271</xdr:rowOff>
    </xdr:to>
    <xdr:sp macro="" textlink="">
      <xdr:nvSpPr>
        <xdr:cNvPr id="164" name="Right Brace 163">
          <a:extLst>
            <a:ext uri="{FF2B5EF4-FFF2-40B4-BE49-F238E27FC236}">
              <a16:creationId xmlns:a16="http://schemas.microsoft.com/office/drawing/2014/main" id="{59BEAB32-CB6F-4247-8656-93748BE655E0}"/>
            </a:ext>
          </a:extLst>
        </xdr:cNvPr>
        <xdr:cNvSpPr/>
      </xdr:nvSpPr>
      <xdr:spPr>
        <a:xfrm flipH="1">
          <a:off x="34845334" y="914400"/>
          <a:ext cx="335975" cy="817416"/>
        </a:xfrm>
        <a:prstGeom prst="rightBrace">
          <a:avLst>
            <a:gd name="adj1" fmla="val 14150"/>
            <a:gd name="adj2" fmla="val 13849"/>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82</xdr:col>
      <xdr:colOff>189348</xdr:colOff>
      <xdr:row>3</xdr:row>
      <xdr:rowOff>27708</xdr:rowOff>
    </xdr:from>
    <xdr:to>
      <xdr:col>82</xdr:col>
      <xdr:colOff>431215</xdr:colOff>
      <xdr:row>4</xdr:row>
      <xdr:rowOff>93692</xdr:rowOff>
    </xdr:to>
    <xdr:sp macro="" textlink="">
      <xdr:nvSpPr>
        <xdr:cNvPr id="165" name="Multiply 4">
          <a:extLst>
            <a:ext uri="{FF2B5EF4-FFF2-40B4-BE49-F238E27FC236}">
              <a16:creationId xmlns:a16="http://schemas.microsoft.com/office/drawing/2014/main" id="{B9EABB23-B012-AF49-B10D-0FF377E30DFC}"/>
            </a:ext>
          </a:extLst>
        </xdr:cNvPr>
        <xdr:cNvSpPr/>
      </xdr:nvSpPr>
      <xdr:spPr>
        <a:xfrm>
          <a:off x="41071803" y="928253"/>
          <a:ext cx="241867" cy="273803"/>
        </a:xfrm>
        <a:prstGeom prst="mathMultiply">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GB"/>
        </a:p>
      </xdr:txBody>
    </xdr:sp>
    <xdr:clientData/>
  </xdr:twoCellAnchor>
  <xdr:twoCellAnchor>
    <xdr:from>
      <xdr:col>88</xdr:col>
      <xdr:colOff>167163</xdr:colOff>
      <xdr:row>6</xdr:row>
      <xdr:rowOff>80818</xdr:rowOff>
    </xdr:from>
    <xdr:to>
      <xdr:col>88</xdr:col>
      <xdr:colOff>404088</xdr:colOff>
      <xdr:row>7</xdr:row>
      <xdr:rowOff>109950</xdr:rowOff>
    </xdr:to>
    <xdr:sp macro="" textlink="">
      <xdr:nvSpPr>
        <xdr:cNvPr id="166" name="Plus 2">
          <a:extLst>
            <a:ext uri="{FF2B5EF4-FFF2-40B4-BE49-F238E27FC236}">
              <a16:creationId xmlns:a16="http://schemas.microsoft.com/office/drawing/2014/main" id="{CA31AD25-C4C5-0E49-AA2E-46DF93AFB251}"/>
            </a:ext>
          </a:extLst>
        </xdr:cNvPr>
        <xdr:cNvSpPr/>
      </xdr:nvSpPr>
      <xdr:spPr>
        <a:xfrm>
          <a:off x="45275254" y="1604818"/>
          <a:ext cx="236925" cy="236950"/>
        </a:xfrm>
        <a:prstGeom prst="mathPlus">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GB"/>
        </a:p>
      </xdr:txBody>
    </xdr:sp>
    <xdr:clientData/>
  </xdr:twoCellAnchor>
  <xdr:twoCellAnchor>
    <xdr:from>
      <xdr:col>91</xdr:col>
      <xdr:colOff>116607</xdr:colOff>
      <xdr:row>24</xdr:row>
      <xdr:rowOff>2310</xdr:rowOff>
    </xdr:from>
    <xdr:to>
      <xdr:col>92</xdr:col>
      <xdr:colOff>2307</xdr:colOff>
      <xdr:row>25</xdr:row>
      <xdr:rowOff>196272</xdr:rowOff>
    </xdr:to>
    <xdr:sp macro="" textlink="">
      <xdr:nvSpPr>
        <xdr:cNvPr id="167" name="Right Brace 166">
          <a:extLst>
            <a:ext uri="{FF2B5EF4-FFF2-40B4-BE49-F238E27FC236}">
              <a16:creationId xmlns:a16="http://schemas.microsoft.com/office/drawing/2014/main" id="{A96F7D58-3602-B443-A3AE-0D174FC5523F}"/>
            </a:ext>
          </a:extLst>
        </xdr:cNvPr>
        <xdr:cNvSpPr/>
      </xdr:nvSpPr>
      <xdr:spPr>
        <a:xfrm flipH="1">
          <a:off x="41772607" y="5278583"/>
          <a:ext cx="335973" cy="401780"/>
        </a:xfrm>
        <a:prstGeom prst="rightBrace">
          <a:avLst>
            <a:gd name="adj1" fmla="val 14150"/>
            <a:gd name="adj2" fmla="val 396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76</xdr:col>
      <xdr:colOff>128153</xdr:colOff>
      <xdr:row>10</xdr:row>
      <xdr:rowOff>2310</xdr:rowOff>
    </xdr:from>
    <xdr:to>
      <xdr:col>77</xdr:col>
      <xdr:colOff>13854</xdr:colOff>
      <xdr:row>13</xdr:row>
      <xdr:rowOff>11545</xdr:rowOff>
    </xdr:to>
    <xdr:sp macro="" textlink="">
      <xdr:nvSpPr>
        <xdr:cNvPr id="168" name="Right Brace 167">
          <a:extLst>
            <a:ext uri="{FF2B5EF4-FFF2-40B4-BE49-F238E27FC236}">
              <a16:creationId xmlns:a16="http://schemas.microsoft.com/office/drawing/2014/main" id="{2587A70F-925B-AE40-BD56-F2C525C041A4}"/>
            </a:ext>
          </a:extLst>
        </xdr:cNvPr>
        <xdr:cNvSpPr/>
      </xdr:nvSpPr>
      <xdr:spPr>
        <a:xfrm flipH="1">
          <a:off x="30504244" y="2576946"/>
          <a:ext cx="335974" cy="632690"/>
        </a:xfrm>
        <a:prstGeom prst="rightBrace">
          <a:avLst>
            <a:gd name="adj1" fmla="val 14150"/>
            <a:gd name="adj2" fmla="val 1883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73</xdr:col>
      <xdr:colOff>116608</xdr:colOff>
      <xdr:row>7</xdr:row>
      <xdr:rowOff>13856</xdr:rowOff>
    </xdr:from>
    <xdr:to>
      <xdr:col>74</xdr:col>
      <xdr:colOff>2309</xdr:colOff>
      <xdr:row>12</xdr:row>
      <xdr:rowOff>196272</xdr:rowOff>
    </xdr:to>
    <xdr:sp macro="" textlink="">
      <xdr:nvSpPr>
        <xdr:cNvPr id="171" name="Right Brace 170">
          <a:extLst>
            <a:ext uri="{FF2B5EF4-FFF2-40B4-BE49-F238E27FC236}">
              <a16:creationId xmlns:a16="http://schemas.microsoft.com/office/drawing/2014/main" id="{FB3657E8-0F0C-9E4D-BABE-9DE20B14D90D}"/>
            </a:ext>
          </a:extLst>
        </xdr:cNvPr>
        <xdr:cNvSpPr/>
      </xdr:nvSpPr>
      <xdr:spPr>
        <a:xfrm flipH="1">
          <a:off x="26925153" y="1965038"/>
          <a:ext cx="335974" cy="1221507"/>
        </a:xfrm>
        <a:prstGeom prst="rightBrace">
          <a:avLst>
            <a:gd name="adj1" fmla="val 14150"/>
            <a:gd name="adj2" fmla="val 396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73</xdr:col>
      <xdr:colOff>169473</xdr:colOff>
      <xdr:row>8</xdr:row>
      <xdr:rowOff>175492</xdr:rowOff>
    </xdr:from>
    <xdr:to>
      <xdr:col>73</xdr:col>
      <xdr:colOff>406398</xdr:colOff>
      <xdr:row>9</xdr:row>
      <xdr:rowOff>204623</xdr:rowOff>
    </xdr:to>
    <xdr:sp macro="" textlink="">
      <xdr:nvSpPr>
        <xdr:cNvPr id="172" name="Plus 2">
          <a:extLst>
            <a:ext uri="{FF2B5EF4-FFF2-40B4-BE49-F238E27FC236}">
              <a16:creationId xmlns:a16="http://schemas.microsoft.com/office/drawing/2014/main" id="{157B27E8-0668-D948-BA9B-37DFF081A929}"/>
            </a:ext>
          </a:extLst>
        </xdr:cNvPr>
        <xdr:cNvSpPr/>
      </xdr:nvSpPr>
      <xdr:spPr>
        <a:xfrm>
          <a:off x="32889291" y="2115128"/>
          <a:ext cx="236925" cy="236950"/>
        </a:xfrm>
        <a:prstGeom prst="mathPlus">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GB"/>
        </a:p>
      </xdr:txBody>
    </xdr:sp>
    <xdr:clientData/>
  </xdr:twoCellAnchor>
  <xdr:twoCellAnchor>
    <xdr:from>
      <xdr:col>82</xdr:col>
      <xdr:colOff>118917</xdr:colOff>
      <xdr:row>15</xdr:row>
      <xdr:rowOff>4620</xdr:rowOff>
    </xdr:from>
    <xdr:to>
      <xdr:col>83</xdr:col>
      <xdr:colOff>4618</xdr:colOff>
      <xdr:row>19</xdr:row>
      <xdr:rowOff>11545</xdr:rowOff>
    </xdr:to>
    <xdr:sp macro="" textlink="">
      <xdr:nvSpPr>
        <xdr:cNvPr id="173" name="Right Brace 172">
          <a:extLst>
            <a:ext uri="{FF2B5EF4-FFF2-40B4-BE49-F238E27FC236}">
              <a16:creationId xmlns:a16="http://schemas.microsoft.com/office/drawing/2014/main" id="{6AA93698-BA5A-1442-A2B6-3FDB586F307A}"/>
            </a:ext>
          </a:extLst>
        </xdr:cNvPr>
        <xdr:cNvSpPr/>
      </xdr:nvSpPr>
      <xdr:spPr>
        <a:xfrm flipH="1">
          <a:off x="34836099" y="3410529"/>
          <a:ext cx="335974" cy="838198"/>
        </a:xfrm>
        <a:prstGeom prst="rightBrace">
          <a:avLst>
            <a:gd name="adj1" fmla="val 14150"/>
            <a:gd name="adj2" fmla="val 12226"/>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76</xdr:col>
      <xdr:colOff>302493</xdr:colOff>
      <xdr:row>22</xdr:row>
      <xdr:rowOff>127000</xdr:rowOff>
    </xdr:from>
    <xdr:to>
      <xdr:col>80</xdr:col>
      <xdr:colOff>450273</xdr:colOff>
      <xdr:row>22</xdr:row>
      <xdr:rowOff>129310</xdr:rowOff>
    </xdr:to>
    <xdr:cxnSp macro="">
      <xdr:nvCxnSpPr>
        <xdr:cNvPr id="177" name="Straight Arrow Connector 176">
          <a:extLst>
            <a:ext uri="{FF2B5EF4-FFF2-40B4-BE49-F238E27FC236}">
              <a16:creationId xmlns:a16="http://schemas.microsoft.com/office/drawing/2014/main" id="{755A860C-E3F7-9144-9B04-603341FCE0EB}"/>
            </a:ext>
          </a:extLst>
        </xdr:cNvPr>
        <xdr:cNvCxnSpPr/>
      </xdr:nvCxnSpPr>
      <xdr:spPr>
        <a:xfrm flipH="1">
          <a:off x="30678584" y="5403273"/>
          <a:ext cx="3565234" cy="231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166258</xdr:colOff>
      <xdr:row>16</xdr:row>
      <xdr:rowOff>73890</xdr:rowOff>
    </xdr:from>
    <xdr:to>
      <xdr:col>82</xdr:col>
      <xdr:colOff>408125</xdr:colOff>
      <xdr:row>17</xdr:row>
      <xdr:rowOff>139874</xdr:rowOff>
    </xdr:to>
    <xdr:sp macro="" textlink="">
      <xdr:nvSpPr>
        <xdr:cNvPr id="181" name="Multiply 4">
          <a:extLst>
            <a:ext uri="{FF2B5EF4-FFF2-40B4-BE49-F238E27FC236}">
              <a16:creationId xmlns:a16="http://schemas.microsoft.com/office/drawing/2014/main" id="{CFDE066B-2669-204C-965A-2566398895F8}"/>
            </a:ext>
          </a:extLst>
        </xdr:cNvPr>
        <xdr:cNvSpPr/>
      </xdr:nvSpPr>
      <xdr:spPr>
        <a:xfrm>
          <a:off x="40783167" y="3260435"/>
          <a:ext cx="241867" cy="273803"/>
        </a:xfrm>
        <a:prstGeom prst="mathMultiply">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GB"/>
        </a:p>
      </xdr:txBody>
    </xdr:sp>
    <xdr:clientData/>
  </xdr:twoCellAnchor>
  <xdr:twoCellAnchor>
    <xdr:from>
      <xdr:col>82</xdr:col>
      <xdr:colOff>130463</xdr:colOff>
      <xdr:row>22</xdr:row>
      <xdr:rowOff>4624</xdr:rowOff>
    </xdr:from>
    <xdr:to>
      <xdr:col>83</xdr:col>
      <xdr:colOff>16164</xdr:colOff>
      <xdr:row>24</xdr:row>
      <xdr:rowOff>4</xdr:rowOff>
    </xdr:to>
    <xdr:sp macro="" textlink="">
      <xdr:nvSpPr>
        <xdr:cNvPr id="182" name="Right Brace 181">
          <a:extLst>
            <a:ext uri="{FF2B5EF4-FFF2-40B4-BE49-F238E27FC236}">
              <a16:creationId xmlns:a16="http://schemas.microsoft.com/office/drawing/2014/main" id="{A9C4BEC5-AE2D-BC41-A82D-971EA19F0635}"/>
            </a:ext>
          </a:extLst>
        </xdr:cNvPr>
        <xdr:cNvSpPr/>
      </xdr:nvSpPr>
      <xdr:spPr>
        <a:xfrm flipH="1">
          <a:off x="34847645" y="5280897"/>
          <a:ext cx="335974" cy="411016"/>
        </a:xfrm>
        <a:prstGeom prst="rightBrace">
          <a:avLst>
            <a:gd name="adj1" fmla="val 14150"/>
            <a:gd name="adj2" fmla="val 396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82</xdr:col>
      <xdr:colOff>180113</xdr:colOff>
      <xdr:row>22</xdr:row>
      <xdr:rowOff>76203</xdr:rowOff>
    </xdr:from>
    <xdr:to>
      <xdr:col>82</xdr:col>
      <xdr:colOff>421980</xdr:colOff>
      <xdr:row>23</xdr:row>
      <xdr:rowOff>142188</xdr:rowOff>
    </xdr:to>
    <xdr:sp macro="" textlink="">
      <xdr:nvSpPr>
        <xdr:cNvPr id="183" name="Multiply 4">
          <a:extLst>
            <a:ext uri="{FF2B5EF4-FFF2-40B4-BE49-F238E27FC236}">
              <a16:creationId xmlns:a16="http://schemas.microsoft.com/office/drawing/2014/main" id="{6E3F32B7-5AB7-2D48-A2A4-070936958056}"/>
            </a:ext>
          </a:extLst>
        </xdr:cNvPr>
        <xdr:cNvSpPr/>
      </xdr:nvSpPr>
      <xdr:spPr>
        <a:xfrm>
          <a:off x="34897295" y="5352476"/>
          <a:ext cx="241867" cy="273803"/>
        </a:xfrm>
        <a:prstGeom prst="mathMultiply">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GB"/>
        </a:p>
      </xdr:txBody>
    </xdr:sp>
    <xdr:clientData/>
  </xdr:twoCellAnchor>
  <xdr:twoCellAnchor>
    <xdr:from>
      <xdr:col>76</xdr:col>
      <xdr:colOff>151244</xdr:colOff>
      <xdr:row>15</xdr:row>
      <xdr:rowOff>13860</xdr:rowOff>
    </xdr:from>
    <xdr:to>
      <xdr:col>77</xdr:col>
      <xdr:colOff>36945</xdr:colOff>
      <xdr:row>21</xdr:row>
      <xdr:rowOff>0</xdr:rowOff>
    </xdr:to>
    <xdr:sp macro="" textlink="">
      <xdr:nvSpPr>
        <xdr:cNvPr id="186" name="Right Brace 185">
          <a:extLst>
            <a:ext uri="{FF2B5EF4-FFF2-40B4-BE49-F238E27FC236}">
              <a16:creationId xmlns:a16="http://schemas.microsoft.com/office/drawing/2014/main" id="{47EC3DB9-46BF-F24E-AB20-23D934267F5F}"/>
            </a:ext>
          </a:extLst>
        </xdr:cNvPr>
        <xdr:cNvSpPr/>
      </xdr:nvSpPr>
      <xdr:spPr>
        <a:xfrm flipH="1">
          <a:off x="30527335" y="3419769"/>
          <a:ext cx="335974" cy="1233049"/>
        </a:xfrm>
        <a:prstGeom prst="rightBrace">
          <a:avLst>
            <a:gd name="adj1" fmla="val 14150"/>
            <a:gd name="adj2" fmla="val 10516"/>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73</xdr:col>
      <xdr:colOff>107371</xdr:colOff>
      <xdr:row>15</xdr:row>
      <xdr:rowOff>4620</xdr:rowOff>
    </xdr:from>
    <xdr:to>
      <xdr:col>73</xdr:col>
      <xdr:colOff>443345</xdr:colOff>
      <xdr:row>23</xdr:row>
      <xdr:rowOff>196272</xdr:rowOff>
    </xdr:to>
    <xdr:sp macro="" textlink="">
      <xdr:nvSpPr>
        <xdr:cNvPr id="188" name="Right Brace 187">
          <a:extLst>
            <a:ext uri="{FF2B5EF4-FFF2-40B4-BE49-F238E27FC236}">
              <a16:creationId xmlns:a16="http://schemas.microsoft.com/office/drawing/2014/main" id="{6DCF8854-CAE0-F248-B2A6-0BF379A0B6DC}"/>
            </a:ext>
          </a:extLst>
        </xdr:cNvPr>
        <xdr:cNvSpPr/>
      </xdr:nvSpPr>
      <xdr:spPr>
        <a:xfrm flipH="1">
          <a:off x="26915916" y="3410529"/>
          <a:ext cx="335974" cy="1854198"/>
        </a:xfrm>
        <a:prstGeom prst="rightBrace">
          <a:avLst>
            <a:gd name="adj1" fmla="val 14150"/>
            <a:gd name="adj2" fmla="val 396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73</xdr:col>
      <xdr:colOff>160236</xdr:colOff>
      <xdr:row>16</xdr:row>
      <xdr:rowOff>166256</xdr:rowOff>
    </xdr:from>
    <xdr:to>
      <xdr:col>73</xdr:col>
      <xdr:colOff>397161</xdr:colOff>
      <xdr:row>17</xdr:row>
      <xdr:rowOff>195387</xdr:rowOff>
    </xdr:to>
    <xdr:sp macro="" textlink="">
      <xdr:nvSpPr>
        <xdr:cNvPr id="189" name="Plus 2">
          <a:extLst>
            <a:ext uri="{FF2B5EF4-FFF2-40B4-BE49-F238E27FC236}">
              <a16:creationId xmlns:a16="http://schemas.microsoft.com/office/drawing/2014/main" id="{E440DEE2-180C-EF43-99F5-A7C420A18D47}"/>
            </a:ext>
          </a:extLst>
        </xdr:cNvPr>
        <xdr:cNvSpPr/>
      </xdr:nvSpPr>
      <xdr:spPr>
        <a:xfrm>
          <a:off x="32880054" y="3352801"/>
          <a:ext cx="236925" cy="236950"/>
        </a:xfrm>
        <a:prstGeom prst="mathPlus">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GB"/>
        </a:p>
      </xdr:txBody>
    </xdr:sp>
    <xdr:clientData/>
  </xdr:twoCellAnchor>
  <xdr:twoCellAnchor>
    <xdr:from>
      <xdr:col>80</xdr:col>
      <xdr:colOff>69273</xdr:colOff>
      <xdr:row>3</xdr:row>
      <xdr:rowOff>69273</xdr:rowOff>
    </xdr:from>
    <xdr:to>
      <xdr:col>81</xdr:col>
      <xdr:colOff>219364</xdr:colOff>
      <xdr:row>8</xdr:row>
      <xdr:rowOff>0</xdr:rowOff>
    </xdr:to>
    <xdr:cxnSp macro="">
      <xdr:nvCxnSpPr>
        <xdr:cNvPr id="50" name="Straight Arrow Connector 49">
          <a:extLst>
            <a:ext uri="{FF2B5EF4-FFF2-40B4-BE49-F238E27FC236}">
              <a16:creationId xmlns:a16="http://schemas.microsoft.com/office/drawing/2014/main" id="{5EA0784E-1CF6-6546-B9DC-37207B66F687}"/>
            </a:ext>
          </a:extLst>
        </xdr:cNvPr>
        <xdr:cNvCxnSpPr/>
      </xdr:nvCxnSpPr>
      <xdr:spPr>
        <a:xfrm flipH="1">
          <a:off x="39104455" y="969818"/>
          <a:ext cx="623454" cy="96981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69273</xdr:colOff>
      <xdr:row>3</xdr:row>
      <xdr:rowOff>115455</xdr:rowOff>
    </xdr:from>
    <xdr:to>
      <xdr:col>81</xdr:col>
      <xdr:colOff>311728</xdr:colOff>
      <xdr:row>11</xdr:row>
      <xdr:rowOff>11545</xdr:rowOff>
    </xdr:to>
    <xdr:cxnSp macro="">
      <xdr:nvCxnSpPr>
        <xdr:cNvPr id="191" name="Straight Arrow Connector 190">
          <a:extLst>
            <a:ext uri="{FF2B5EF4-FFF2-40B4-BE49-F238E27FC236}">
              <a16:creationId xmlns:a16="http://schemas.microsoft.com/office/drawing/2014/main" id="{528A93E4-64A4-5B4C-9B49-CFCACDF758E2}"/>
            </a:ext>
          </a:extLst>
        </xdr:cNvPr>
        <xdr:cNvCxnSpPr/>
      </xdr:nvCxnSpPr>
      <xdr:spPr>
        <a:xfrm flipH="1">
          <a:off x="39104455" y="1016000"/>
          <a:ext cx="715818" cy="155863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86</xdr:col>
      <xdr:colOff>106218</xdr:colOff>
      <xdr:row>2</xdr:row>
      <xdr:rowOff>129309</xdr:rowOff>
    </xdr:from>
    <xdr:to>
      <xdr:col>87</xdr:col>
      <xdr:colOff>60036</xdr:colOff>
      <xdr:row>2</xdr:row>
      <xdr:rowOff>129309</xdr:rowOff>
    </xdr:to>
    <xdr:cxnSp macro="">
      <xdr:nvCxnSpPr>
        <xdr:cNvPr id="195" name="Straight Arrow Connector 194">
          <a:extLst>
            <a:ext uri="{FF2B5EF4-FFF2-40B4-BE49-F238E27FC236}">
              <a16:creationId xmlns:a16="http://schemas.microsoft.com/office/drawing/2014/main" id="{D12C60EA-52FC-BD4C-8BC2-D511DC1F0757}"/>
            </a:ext>
          </a:extLst>
        </xdr:cNvPr>
        <xdr:cNvCxnSpPr/>
      </xdr:nvCxnSpPr>
      <xdr:spPr>
        <a:xfrm flipH="1">
          <a:off x="43840400" y="822036"/>
          <a:ext cx="404091"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86</xdr:col>
      <xdr:colOff>103910</xdr:colOff>
      <xdr:row>3</xdr:row>
      <xdr:rowOff>69273</xdr:rowOff>
    </xdr:from>
    <xdr:to>
      <xdr:col>87</xdr:col>
      <xdr:colOff>265545</xdr:colOff>
      <xdr:row>15</xdr:row>
      <xdr:rowOff>57728</xdr:rowOff>
    </xdr:to>
    <xdr:cxnSp macro="">
      <xdr:nvCxnSpPr>
        <xdr:cNvPr id="197" name="Straight Arrow Connector 196">
          <a:extLst>
            <a:ext uri="{FF2B5EF4-FFF2-40B4-BE49-F238E27FC236}">
              <a16:creationId xmlns:a16="http://schemas.microsoft.com/office/drawing/2014/main" id="{BF56767F-B0C9-7241-AC78-DF381EA8844A}"/>
            </a:ext>
          </a:extLst>
        </xdr:cNvPr>
        <xdr:cNvCxnSpPr/>
      </xdr:nvCxnSpPr>
      <xdr:spPr>
        <a:xfrm flipH="1">
          <a:off x="43838092" y="969818"/>
          <a:ext cx="611908" cy="20666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86</xdr:col>
      <xdr:colOff>88900</xdr:colOff>
      <xdr:row>3</xdr:row>
      <xdr:rowOff>57728</xdr:rowOff>
    </xdr:from>
    <xdr:to>
      <xdr:col>87</xdr:col>
      <xdr:colOff>277090</xdr:colOff>
      <xdr:row>22</xdr:row>
      <xdr:rowOff>50800</xdr:rowOff>
    </xdr:to>
    <xdr:cxnSp macro="">
      <xdr:nvCxnSpPr>
        <xdr:cNvPr id="201" name="Straight Arrow Connector 200">
          <a:extLst>
            <a:ext uri="{FF2B5EF4-FFF2-40B4-BE49-F238E27FC236}">
              <a16:creationId xmlns:a16="http://schemas.microsoft.com/office/drawing/2014/main" id="{9F45611A-A22F-8546-AB19-45395D9534D6}"/>
            </a:ext>
          </a:extLst>
        </xdr:cNvPr>
        <xdr:cNvCxnSpPr/>
      </xdr:nvCxnSpPr>
      <xdr:spPr>
        <a:xfrm flipH="1">
          <a:off x="38392100" y="1175328"/>
          <a:ext cx="632690" cy="385387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142007</xdr:colOff>
      <xdr:row>39</xdr:row>
      <xdr:rowOff>4626</xdr:rowOff>
    </xdr:from>
    <xdr:to>
      <xdr:col>77</xdr:col>
      <xdr:colOff>27708</xdr:colOff>
      <xdr:row>41</xdr:row>
      <xdr:rowOff>196274</xdr:rowOff>
    </xdr:to>
    <xdr:sp macro="" textlink="">
      <xdr:nvSpPr>
        <xdr:cNvPr id="206" name="Right Brace 205">
          <a:extLst>
            <a:ext uri="{FF2B5EF4-FFF2-40B4-BE49-F238E27FC236}">
              <a16:creationId xmlns:a16="http://schemas.microsoft.com/office/drawing/2014/main" id="{E132F1B1-BDDE-B342-B244-5C0AACFECD29}"/>
            </a:ext>
          </a:extLst>
        </xdr:cNvPr>
        <xdr:cNvSpPr/>
      </xdr:nvSpPr>
      <xdr:spPr>
        <a:xfrm flipH="1">
          <a:off x="30518098" y="8398171"/>
          <a:ext cx="335974" cy="607285"/>
        </a:xfrm>
        <a:prstGeom prst="rightBrace">
          <a:avLst>
            <a:gd name="adj1" fmla="val 14150"/>
            <a:gd name="adj2" fmla="val 2107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82</xdr:col>
      <xdr:colOff>118915</xdr:colOff>
      <xdr:row>24</xdr:row>
      <xdr:rowOff>200893</xdr:rowOff>
    </xdr:from>
    <xdr:to>
      <xdr:col>83</xdr:col>
      <xdr:colOff>4616</xdr:colOff>
      <xdr:row>30</xdr:row>
      <xdr:rowOff>12700</xdr:rowOff>
    </xdr:to>
    <xdr:sp macro="" textlink="">
      <xdr:nvSpPr>
        <xdr:cNvPr id="208" name="Right Brace 207">
          <a:extLst>
            <a:ext uri="{FF2B5EF4-FFF2-40B4-BE49-F238E27FC236}">
              <a16:creationId xmlns:a16="http://schemas.microsoft.com/office/drawing/2014/main" id="{20ECFA50-CDDD-CF4F-A971-0F7153CFBEFE}"/>
            </a:ext>
          </a:extLst>
        </xdr:cNvPr>
        <xdr:cNvSpPr/>
      </xdr:nvSpPr>
      <xdr:spPr>
        <a:xfrm flipH="1">
          <a:off x="34662915" y="5585693"/>
          <a:ext cx="330201" cy="1031007"/>
        </a:xfrm>
        <a:prstGeom prst="rightBrace">
          <a:avLst>
            <a:gd name="adj1" fmla="val 14150"/>
            <a:gd name="adj2" fmla="val 396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82</xdr:col>
      <xdr:colOff>166258</xdr:colOff>
      <xdr:row>26</xdr:row>
      <xdr:rowOff>160481</xdr:rowOff>
    </xdr:from>
    <xdr:to>
      <xdr:col>82</xdr:col>
      <xdr:colOff>408125</xdr:colOff>
      <xdr:row>28</xdr:row>
      <xdr:rowOff>23264</xdr:rowOff>
    </xdr:to>
    <xdr:sp macro="" textlink="">
      <xdr:nvSpPr>
        <xdr:cNvPr id="209" name="Multiply 4">
          <a:extLst>
            <a:ext uri="{FF2B5EF4-FFF2-40B4-BE49-F238E27FC236}">
              <a16:creationId xmlns:a16="http://schemas.microsoft.com/office/drawing/2014/main" id="{2D5EEC04-B76F-4244-8968-AB079DCFF7F7}"/>
            </a:ext>
          </a:extLst>
        </xdr:cNvPr>
        <xdr:cNvSpPr/>
      </xdr:nvSpPr>
      <xdr:spPr>
        <a:xfrm>
          <a:off x="34710258" y="5951681"/>
          <a:ext cx="241867" cy="269183"/>
        </a:xfrm>
        <a:prstGeom prst="mathMultiply">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GB"/>
        </a:p>
      </xdr:txBody>
    </xdr:sp>
    <xdr:clientData/>
  </xdr:twoCellAnchor>
  <xdr:twoCellAnchor>
    <xdr:from>
      <xdr:col>86</xdr:col>
      <xdr:colOff>76200</xdr:colOff>
      <xdr:row>3</xdr:row>
      <xdr:rowOff>80819</xdr:rowOff>
    </xdr:from>
    <xdr:to>
      <xdr:col>87</xdr:col>
      <xdr:colOff>277091</xdr:colOff>
      <xdr:row>25</xdr:row>
      <xdr:rowOff>76200</xdr:rowOff>
    </xdr:to>
    <xdr:cxnSp macro="">
      <xdr:nvCxnSpPr>
        <xdr:cNvPr id="212" name="Straight Arrow Connector 211">
          <a:extLst>
            <a:ext uri="{FF2B5EF4-FFF2-40B4-BE49-F238E27FC236}">
              <a16:creationId xmlns:a16="http://schemas.microsoft.com/office/drawing/2014/main" id="{FF652564-E705-C941-9380-C5CB5AB0B15C}"/>
            </a:ext>
          </a:extLst>
        </xdr:cNvPr>
        <xdr:cNvCxnSpPr/>
      </xdr:nvCxnSpPr>
      <xdr:spPr>
        <a:xfrm flipH="1">
          <a:off x="38379400" y="1198419"/>
          <a:ext cx="645391" cy="446578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109679</xdr:colOff>
      <xdr:row>31</xdr:row>
      <xdr:rowOff>18482</xdr:rowOff>
    </xdr:from>
    <xdr:to>
      <xdr:col>77</xdr:col>
      <xdr:colOff>1154</xdr:colOff>
      <xdr:row>36</xdr:row>
      <xdr:rowOff>25400</xdr:rowOff>
    </xdr:to>
    <xdr:sp macro="" textlink="">
      <xdr:nvSpPr>
        <xdr:cNvPr id="214" name="Right Brace 213">
          <a:extLst>
            <a:ext uri="{FF2B5EF4-FFF2-40B4-BE49-F238E27FC236}">
              <a16:creationId xmlns:a16="http://schemas.microsoft.com/office/drawing/2014/main" id="{492C8C0C-1035-C042-A7CC-ADAC36BA684C}"/>
            </a:ext>
          </a:extLst>
        </xdr:cNvPr>
        <xdr:cNvSpPr/>
      </xdr:nvSpPr>
      <xdr:spPr>
        <a:xfrm flipH="1">
          <a:off x="30322979" y="6825682"/>
          <a:ext cx="335975" cy="1022918"/>
        </a:xfrm>
        <a:prstGeom prst="rightBrace">
          <a:avLst>
            <a:gd name="adj1" fmla="val 14150"/>
            <a:gd name="adj2" fmla="val 8709"/>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80</xdr:col>
      <xdr:colOff>92365</xdr:colOff>
      <xdr:row>27</xdr:row>
      <xdr:rowOff>50800</xdr:rowOff>
    </xdr:from>
    <xdr:to>
      <xdr:col>81</xdr:col>
      <xdr:colOff>63500</xdr:colOff>
      <xdr:row>31</xdr:row>
      <xdr:rowOff>103909</xdr:rowOff>
    </xdr:to>
    <xdr:cxnSp macro="">
      <xdr:nvCxnSpPr>
        <xdr:cNvPr id="216" name="Straight Arrow Connector 215">
          <a:extLst>
            <a:ext uri="{FF2B5EF4-FFF2-40B4-BE49-F238E27FC236}">
              <a16:creationId xmlns:a16="http://schemas.microsoft.com/office/drawing/2014/main" id="{6A3BBC7D-3490-1740-882C-FA595903A916}"/>
            </a:ext>
          </a:extLst>
        </xdr:cNvPr>
        <xdr:cNvCxnSpPr/>
      </xdr:nvCxnSpPr>
      <xdr:spPr>
        <a:xfrm flipH="1">
          <a:off x="33721965" y="6045200"/>
          <a:ext cx="441035" cy="86590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130461</xdr:colOff>
      <xdr:row>39</xdr:row>
      <xdr:rowOff>4620</xdr:rowOff>
    </xdr:from>
    <xdr:to>
      <xdr:col>83</xdr:col>
      <xdr:colOff>16162</xdr:colOff>
      <xdr:row>43</xdr:row>
      <xdr:rowOff>0</xdr:rowOff>
    </xdr:to>
    <xdr:sp macro="" textlink="">
      <xdr:nvSpPr>
        <xdr:cNvPr id="219" name="Right Brace 218">
          <a:extLst>
            <a:ext uri="{FF2B5EF4-FFF2-40B4-BE49-F238E27FC236}">
              <a16:creationId xmlns:a16="http://schemas.microsoft.com/office/drawing/2014/main" id="{700E9ECE-4E25-BE4E-A5F5-273E3EB16DC4}"/>
            </a:ext>
          </a:extLst>
        </xdr:cNvPr>
        <xdr:cNvSpPr/>
      </xdr:nvSpPr>
      <xdr:spPr>
        <a:xfrm flipH="1">
          <a:off x="34674461" y="8437420"/>
          <a:ext cx="330201" cy="808180"/>
        </a:xfrm>
        <a:prstGeom prst="rightBrace">
          <a:avLst>
            <a:gd name="adj1" fmla="val 14150"/>
            <a:gd name="adj2" fmla="val 396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82</xdr:col>
      <xdr:colOff>176649</xdr:colOff>
      <xdr:row>40</xdr:row>
      <xdr:rowOff>68115</xdr:rowOff>
    </xdr:from>
    <xdr:to>
      <xdr:col>82</xdr:col>
      <xdr:colOff>418516</xdr:colOff>
      <xdr:row>41</xdr:row>
      <xdr:rowOff>134101</xdr:rowOff>
    </xdr:to>
    <xdr:sp macro="" textlink="">
      <xdr:nvSpPr>
        <xdr:cNvPr id="220" name="Multiply 4">
          <a:extLst>
            <a:ext uri="{FF2B5EF4-FFF2-40B4-BE49-F238E27FC236}">
              <a16:creationId xmlns:a16="http://schemas.microsoft.com/office/drawing/2014/main" id="{1600F004-F583-2540-80BE-E0CE8961C4AE}"/>
            </a:ext>
          </a:extLst>
        </xdr:cNvPr>
        <xdr:cNvSpPr/>
      </xdr:nvSpPr>
      <xdr:spPr>
        <a:xfrm>
          <a:off x="34720649" y="8704115"/>
          <a:ext cx="241867" cy="269186"/>
        </a:xfrm>
        <a:prstGeom prst="mathMultiply">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GB"/>
        </a:p>
      </xdr:txBody>
    </xdr:sp>
    <xdr:clientData/>
  </xdr:twoCellAnchor>
  <xdr:twoCellAnchor>
    <xdr:from>
      <xdr:col>86</xdr:col>
      <xdr:colOff>94673</xdr:colOff>
      <xdr:row>39</xdr:row>
      <xdr:rowOff>117763</xdr:rowOff>
    </xdr:from>
    <xdr:to>
      <xdr:col>87</xdr:col>
      <xdr:colOff>48491</xdr:colOff>
      <xdr:row>39</xdr:row>
      <xdr:rowOff>117763</xdr:rowOff>
    </xdr:to>
    <xdr:cxnSp macro="">
      <xdr:nvCxnSpPr>
        <xdr:cNvPr id="223" name="Straight Arrow Connector 222">
          <a:extLst>
            <a:ext uri="{FF2B5EF4-FFF2-40B4-BE49-F238E27FC236}">
              <a16:creationId xmlns:a16="http://schemas.microsoft.com/office/drawing/2014/main" id="{6237194A-0992-114C-B8D2-476799A9332E}"/>
            </a:ext>
          </a:extLst>
        </xdr:cNvPr>
        <xdr:cNvCxnSpPr/>
      </xdr:nvCxnSpPr>
      <xdr:spPr>
        <a:xfrm flipH="1">
          <a:off x="38587218" y="8511308"/>
          <a:ext cx="404091"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148935</xdr:colOff>
      <xdr:row>39</xdr:row>
      <xdr:rowOff>0</xdr:rowOff>
    </xdr:from>
    <xdr:to>
      <xdr:col>92</xdr:col>
      <xdr:colOff>46181</xdr:colOff>
      <xdr:row>45</xdr:row>
      <xdr:rowOff>0</xdr:rowOff>
    </xdr:to>
    <xdr:sp macro="" textlink="">
      <xdr:nvSpPr>
        <xdr:cNvPr id="225" name="Right Brace 224">
          <a:extLst>
            <a:ext uri="{FF2B5EF4-FFF2-40B4-BE49-F238E27FC236}">
              <a16:creationId xmlns:a16="http://schemas.microsoft.com/office/drawing/2014/main" id="{6235E09F-CDA4-324D-A88C-1FFA66682255}"/>
            </a:ext>
          </a:extLst>
        </xdr:cNvPr>
        <xdr:cNvSpPr/>
      </xdr:nvSpPr>
      <xdr:spPr>
        <a:xfrm flipH="1">
          <a:off x="45639254" y="8417128"/>
          <a:ext cx="343097" cy="1215957"/>
        </a:xfrm>
        <a:prstGeom prst="rightBrace">
          <a:avLst>
            <a:gd name="adj1" fmla="val 14150"/>
            <a:gd name="adj2" fmla="val 396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91</xdr:col>
      <xdr:colOff>203766</xdr:colOff>
      <xdr:row>41</xdr:row>
      <xdr:rowOff>132897</xdr:rowOff>
    </xdr:from>
    <xdr:to>
      <xdr:col>91</xdr:col>
      <xdr:colOff>440691</xdr:colOff>
      <xdr:row>42</xdr:row>
      <xdr:rowOff>162028</xdr:rowOff>
    </xdr:to>
    <xdr:sp macro="" textlink="">
      <xdr:nvSpPr>
        <xdr:cNvPr id="226" name="Plus 2">
          <a:extLst>
            <a:ext uri="{FF2B5EF4-FFF2-40B4-BE49-F238E27FC236}">
              <a16:creationId xmlns:a16="http://schemas.microsoft.com/office/drawing/2014/main" id="{10DE54AD-26FE-0E4F-8649-B23BD7B3ABFE}"/>
            </a:ext>
          </a:extLst>
        </xdr:cNvPr>
        <xdr:cNvSpPr/>
      </xdr:nvSpPr>
      <xdr:spPr>
        <a:xfrm>
          <a:off x="45694085" y="8955344"/>
          <a:ext cx="236925" cy="231790"/>
        </a:xfrm>
        <a:prstGeom prst="mathPlus">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GB"/>
        </a:p>
      </xdr:txBody>
    </xdr:sp>
    <xdr:clientData/>
  </xdr:twoCellAnchor>
  <xdr:twoCellAnchor>
    <xdr:from>
      <xdr:col>95</xdr:col>
      <xdr:colOff>171618</xdr:colOff>
      <xdr:row>39</xdr:row>
      <xdr:rowOff>0</xdr:rowOff>
    </xdr:from>
    <xdr:to>
      <xdr:col>96</xdr:col>
      <xdr:colOff>2308</xdr:colOff>
      <xdr:row>51</xdr:row>
      <xdr:rowOff>0</xdr:rowOff>
    </xdr:to>
    <xdr:sp macro="" textlink="">
      <xdr:nvSpPr>
        <xdr:cNvPr id="228" name="Right Brace 227">
          <a:extLst>
            <a:ext uri="{FF2B5EF4-FFF2-40B4-BE49-F238E27FC236}">
              <a16:creationId xmlns:a16="http://schemas.microsoft.com/office/drawing/2014/main" id="{35134296-1BAB-1D4B-B318-B4F854680563}"/>
            </a:ext>
          </a:extLst>
        </xdr:cNvPr>
        <xdr:cNvSpPr/>
      </xdr:nvSpPr>
      <xdr:spPr>
        <a:xfrm flipH="1">
          <a:off x="45967818" y="8432800"/>
          <a:ext cx="338690" cy="2438400"/>
        </a:xfrm>
        <a:prstGeom prst="rightBrace">
          <a:avLst>
            <a:gd name="adj1" fmla="val 14150"/>
            <a:gd name="adj2" fmla="val 396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95</xdr:col>
      <xdr:colOff>221675</xdr:colOff>
      <xdr:row>43</xdr:row>
      <xdr:rowOff>25400</xdr:rowOff>
    </xdr:from>
    <xdr:to>
      <xdr:col>95</xdr:col>
      <xdr:colOff>463542</xdr:colOff>
      <xdr:row>44</xdr:row>
      <xdr:rowOff>91384</xdr:rowOff>
    </xdr:to>
    <xdr:sp macro="" textlink="">
      <xdr:nvSpPr>
        <xdr:cNvPr id="229" name="Multiply 4">
          <a:extLst>
            <a:ext uri="{FF2B5EF4-FFF2-40B4-BE49-F238E27FC236}">
              <a16:creationId xmlns:a16="http://schemas.microsoft.com/office/drawing/2014/main" id="{D20CA080-2222-0F41-B740-427032EE98A7}"/>
            </a:ext>
          </a:extLst>
        </xdr:cNvPr>
        <xdr:cNvSpPr/>
      </xdr:nvSpPr>
      <xdr:spPr>
        <a:xfrm>
          <a:off x="46241857" y="9665855"/>
          <a:ext cx="241867" cy="273802"/>
        </a:xfrm>
        <a:prstGeom prst="mathMultiply">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GB"/>
        </a:p>
      </xdr:txBody>
    </xdr:sp>
    <xdr:clientData/>
  </xdr:twoCellAnchor>
  <xdr:twoCellAnchor>
    <xdr:from>
      <xdr:col>73</xdr:col>
      <xdr:colOff>132771</xdr:colOff>
      <xdr:row>25</xdr:row>
      <xdr:rowOff>11545</xdr:rowOff>
    </xdr:from>
    <xdr:to>
      <xdr:col>74</xdr:col>
      <xdr:colOff>18472</xdr:colOff>
      <xdr:row>49</xdr:row>
      <xdr:rowOff>189149</xdr:rowOff>
    </xdr:to>
    <xdr:sp macro="" textlink="">
      <xdr:nvSpPr>
        <xdr:cNvPr id="231" name="Right Brace 230">
          <a:extLst>
            <a:ext uri="{FF2B5EF4-FFF2-40B4-BE49-F238E27FC236}">
              <a16:creationId xmlns:a16="http://schemas.microsoft.com/office/drawing/2014/main" id="{2D6BF4D6-6D61-D24F-BB52-2774EEE1C581}"/>
            </a:ext>
          </a:extLst>
        </xdr:cNvPr>
        <xdr:cNvSpPr/>
      </xdr:nvSpPr>
      <xdr:spPr>
        <a:xfrm flipH="1">
          <a:off x="30815431" y="5591439"/>
          <a:ext cx="331552" cy="5041433"/>
        </a:xfrm>
        <a:prstGeom prst="rightBrace">
          <a:avLst>
            <a:gd name="adj1" fmla="val 14150"/>
            <a:gd name="adj2" fmla="val 3962"/>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73</xdr:col>
      <xdr:colOff>185636</xdr:colOff>
      <xdr:row>31</xdr:row>
      <xdr:rowOff>168565</xdr:rowOff>
    </xdr:from>
    <xdr:to>
      <xdr:col>73</xdr:col>
      <xdr:colOff>422561</xdr:colOff>
      <xdr:row>32</xdr:row>
      <xdr:rowOff>197697</xdr:rowOff>
    </xdr:to>
    <xdr:sp macro="" textlink="">
      <xdr:nvSpPr>
        <xdr:cNvPr id="232" name="Plus 2">
          <a:extLst>
            <a:ext uri="{FF2B5EF4-FFF2-40B4-BE49-F238E27FC236}">
              <a16:creationId xmlns:a16="http://schemas.microsoft.com/office/drawing/2014/main" id="{A03551ED-0052-AE48-A7CA-B46AC84FFD2D}"/>
            </a:ext>
          </a:extLst>
        </xdr:cNvPr>
        <xdr:cNvSpPr/>
      </xdr:nvSpPr>
      <xdr:spPr>
        <a:xfrm>
          <a:off x="32905454" y="5848929"/>
          <a:ext cx="236925" cy="236950"/>
        </a:xfrm>
        <a:prstGeom prst="mathPlus">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GB"/>
        </a:p>
      </xdr:txBody>
    </xdr:sp>
    <xdr:clientData/>
  </xdr:twoCellAnchor>
  <xdr:twoCellAnchor>
    <xdr:from>
      <xdr:col>88</xdr:col>
      <xdr:colOff>154413</xdr:colOff>
      <xdr:row>39</xdr:row>
      <xdr:rowOff>0</xdr:rowOff>
    </xdr:from>
    <xdr:to>
      <xdr:col>89</xdr:col>
      <xdr:colOff>34631</xdr:colOff>
      <xdr:row>51</xdr:row>
      <xdr:rowOff>0</xdr:rowOff>
    </xdr:to>
    <xdr:sp macro="" textlink="">
      <xdr:nvSpPr>
        <xdr:cNvPr id="233" name="Right Brace 232">
          <a:extLst>
            <a:ext uri="{FF2B5EF4-FFF2-40B4-BE49-F238E27FC236}">
              <a16:creationId xmlns:a16="http://schemas.microsoft.com/office/drawing/2014/main" id="{2D77AEDD-CF47-CA42-88F4-1F7D4A665752}"/>
            </a:ext>
          </a:extLst>
        </xdr:cNvPr>
        <xdr:cNvSpPr/>
      </xdr:nvSpPr>
      <xdr:spPr>
        <a:xfrm flipH="1">
          <a:off x="39346613" y="8432800"/>
          <a:ext cx="324718" cy="2438400"/>
        </a:xfrm>
        <a:prstGeom prst="rightBrace">
          <a:avLst>
            <a:gd name="adj1" fmla="val 14150"/>
            <a:gd name="adj2" fmla="val 1793"/>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70</xdr:col>
      <xdr:colOff>171781</xdr:colOff>
      <xdr:row>4</xdr:row>
      <xdr:rowOff>143165</xdr:rowOff>
    </xdr:from>
    <xdr:to>
      <xdr:col>70</xdr:col>
      <xdr:colOff>408706</xdr:colOff>
      <xdr:row>5</xdr:row>
      <xdr:rowOff>172296</xdr:rowOff>
    </xdr:to>
    <xdr:sp macro="" textlink="">
      <xdr:nvSpPr>
        <xdr:cNvPr id="69" name="Plus 2">
          <a:extLst>
            <a:ext uri="{FF2B5EF4-FFF2-40B4-BE49-F238E27FC236}">
              <a16:creationId xmlns:a16="http://schemas.microsoft.com/office/drawing/2014/main" id="{63A47B23-3B7D-A440-A95A-3050B3A0FA37}"/>
            </a:ext>
          </a:extLst>
        </xdr:cNvPr>
        <xdr:cNvSpPr/>
      </xdr:nvSpPr>
      <xdr:spPr>
        <a:xfrm>
          <a:off x="30039872" y="1470892"/>
          <a:ext cx="236925" cy="236949"/>
        </a:xfrm>
        <a:prstGeom prst="mathPlus">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GB"/>
        </a:p>
      </xdr:txBody>
    </xdr:sp>
    <xdr:clientData/>
  </xdr:twoCellAnchor>
  <xdr:twoCellAnchor>
    <xdr:from>
      <xdr:col>116</xdr:col>
      <xdr:colOff>128153</xdr:colOff>
      <xdr:row>10</xdr:row>
      <xdr:rowOff>27021</xdr:rowOff>
    </xdr:from>
    <xdr:to>
      <xdr:col>125</xdr:col>
      <xdr:colOff>13510</xdr:colOff>
      <xdr:row>23</xdr:row>
      <xdr:rowOff>67554</xdr:rowOff>
    </xdr:to>
    <xdr:graphicFrame macro="">
      <xdr:nvGraphicFramePr>
        <xdr:cNvPr id="5" name="Chart 4">
          <a:extLst>
            <a:ext uri="{FF2B5EF4-FFF2-40B4-BE49-F238E27FC236}">
              <a16:creationId xmlns:a16="http://schemas.microsoft.com/office/drawing/2014/main" id="{9074A8B1-2A89-3045-8921-05A822880F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76</xdr:col>
      <xdr:colOff>121225</xdr:colOff>
      <xdr:row>25</xdr:row>
      <xdr:rowOff>18481</xdr:rowOff>
    </xdr:from>
    <xdr:to>
      <xdr:col>77</xdr:col>
      <xdr:colOff>6926</xdr:colOff>
      <xdr:row>29</xdr:row>
      <xdr:rowOff>12700</xdr:rowOff>
    </xdr:to>
    <xdr:sp macro="" textlink="">
      <xdr:nvSpPr>
        <xdr:cNvPr id="64" name="Right Brace 63">
          <a:extLst>
            <a:ext uri="{FF2B5EF4-FFF2-40B4-BE49-F238E27FC236}">
              <a16:creationId xmlns:a16="http://schemas.microsoft.com/office/drawing/2014/main" id="{2EA43A7C-EE2A-E44E-AFE5-4DE6A0BFF38E}"/>
            </a:ext>
          </a:extLst>
        </xdr:cNvPr>
        <xdr:cNvSpPr/>
      </xdr:nvSpPr>
      <xdr:spPr>
        <a:xfrm flipH="1">
          <a:off x="30334525" y="5606481"/>
          <a:ext cx="330201" cy="807019"/>
        </a:xfrm>
        <a:prstGeom prst="rightBrace">
          <a:avLst>
            <a:gd name="adj1" fmla="val 14150"/>
            <a:gd name="adj2" fmla="val 10658"/>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80</xdr:col>
      <xdr:colOff>175491</xdr:colOff>
      <xdr:row>39</xdr:row>
      <xdr:rowOff>115454</xdr:rowOff>
    </xdr:from>
    <xdr:to>
      <xdr:col>81</xdr:col>
      <xdr:colOff>46182</xdr:colOff>
      <xdr:row>39</xdr:row>
      <xdr:rowOff>117763</xdr:rowOff>
    </xdr:to>
    <xdr:cxnSp macro="">
      <xdr:nvCxnSpPr>
        <xdr:cNvPr id="65" name="Straight Arrow Connector 64">
          <a:extLst>
            <a:ext uri="{FF2B5EF4-FFF2-40B4-BE49-F238E27FC236}">
              <a16:creationId xmlns:a16="http://schemas.microsoft.com/office/drawing/2014/main" id="{11BD8A23-9710-F743-911A-AA2767F46868}"/>
            </a:ext>
          </a:extLst>
        </xdr:cNvPr>
        <xdr:cNvCxnSpPr/>
      </xdr:nvCxnSpPr>
      <xdr:spPr>
        <a:xfrm flipH="1">
          <a:off x="33969036" y="8924636"/>
          <a:ext cx="344055" cy="230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150092</xdr:colOff>
      <xdr:row>40</xdr:row>
      <xdr:rowOff>34636</xdr:rowOff>
    </xdr:from>
    <xdr:to>
      <xdr:col>81</xdr:col>
      <xdr:colOff>46182</xdr:colOff>
      <xdr:row>44</xdr:row>
      <xdr:rowOff>115454</xdr:rowOff>
    </xdr:to>
    <xdr:cxnSp macro="">
      <xdr:nvCxnSpPr>
        <xdr:cNvPr id="66" name="Straight Arrow Connector 65">
          <a:extLst>
            <a:ext uri="{FF2B5EF4-FFF2-40B4-BE49-F238E27FC236}">
              <a16:creationId xmlns:a16="http://schemas.microsoft.com/office/drawing/2014/main" id="{C81DAE90-170E-4249-A9B5-344ED554A2A0}"/>
            </a:ext>
          </a:extLst>
        </xdr:cNvPr>
        <xdr:cNvCxnSpPr/>
      </xdr:nvCxnSpPr>
      <xdr:spPr>
        <a:xfrm flipH="1">
          <a:off x="33943637" y="9051636"/>
          <a:ext cx="369454" cy="91209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95825</xdr:colOff>
      <xdr:row>44</xdr:row>
      <xdr:rowOff>16171</xdr:rowOff>
    </xdr:from>
    <xdr:to>
      <xdr:col>76</xdr:col>
      <xdr:colOff>431799</xdr:colOff>
      <xdr:row>47</xdr:row>
      <xdr:rowOff>0</xdr:rowOff>
    </xdr:to>
    <xdr:sp macro="" textlink="">
      <xdr:nvSpPr>
        <xdr:cNvPr id="68" name="Right Brace 67">
          <a:extLst>
            <a:ext uri="{FF2B5EF4-FFF2-40B4-BE49-F238E27FC236}">
              <a16:creationId xmlns:a16="http://schemas.microsoft.com/office/drawing/2014/main" id="{EA75A4B5-5E4D-D043-A6B3-794430F5C8CF}"/>
            </a:ext>
          </a:extLst>
        </xdr:cNvPr>
        <xdr:cNvSpPr/>
      </xdr:nvSpPr>
      <xdr:spPr>
        <a:xfrm flipH="1">
          <a:off x="30471916" y="9448807"/>
          <a:ext cx="335974" cy="607284"/>
        </a:xfrm>
        <a:prstGeom prst="rightBrace">
          <a:avLst>
            <a:gd name="adj1" fmla="val 14150"/>
            <a:gd name="adj2" fmla="val 19171"/>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80</xdr:col>
      <xdr:colOff>80819</xdr:colOff>
      <xdr:row>40</xdr:row>
      <xdr:rowOff>69273</xdr:rowOff>
    </xdr:from>
    <xdr:to>
      <xdr:col>81</xdr:col>
      <xdr:colOff>161637</xdr:colOff>
      <xdr:row>48</xdr:row>
      <xdr:rowOff>115455</xdr:rowOff>
    </xdr:to>
    <xdr:cxnSp macro="">
      <xdr:nvCxnSpPr>
        <xdr:cNvPr id="70" name="Straight Arrow Connector 69">
          <a:extLst>
            <a:ext uri="{FF2B5EF4-FFF2-40B4-BE49-F238E27FC236}">
              <a16:creationId xmlns:a16="http://schemas.microsoft.com/office/drawing/2014/main" id="{1ABD5A5B-F598-944C-A0EC-41D0A564C1D3}"/>
            </a:ext>
          </a:extLst>
        </xdr:cNvPr>
        <xdr:cNvCxnSpPr/>
      </xdr:nvCxnSpPr>
      <xdr:spPr>
        <a:xfrm flipH="1">
          <a:off x="33874364" y="9086273"/>
          <a:ext cx="554182" cy="170872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109678</xdr:colOff>
      <xdr:row>48</xdr:row>
      <xdr:rowOff>6935</xdr:rowOff>
    </xdr:from>
    <xdr:to>
      <xdr:col>76</xdr:col>
      <xdr:colOff>445652</xdr:colOff>
      <xdr:row>50</xdr:row>
      <xdr:rowOff>13511</xdr:rowOff>
    </xdr:to>
    <xdr:sp macro="" textlink="">
      <xdr:nvSpPr>
        <xdr:cNvPr id="73" name="Right Brace 72">
          <a:extLst>
            <a:ext uri="{FF2B5EF4-FFF2-40B4-BE49-F238E27FC236}">
              <a16:creationId xmlns:a16="http://schemas.microsoft.com/office/drawing/2014/main" id="{6A4BC41E-A2BF-C141-A988-93E2F937189D}"/>
            </a:ext>
          </a:extLst>
        </xdr:cNvPr>
        <xdr:cNvSpPr/>
      </xdr:nvSpPr>
      <xdr:spPr>
        <a:xfrm flipH="1">
          <a:off x="34345635" y="10247999"/>
          <a:ext cx="335974" cy="411895"/>
        </a:xfrm>
        <a:prstGeom prst="rightBrace">
          <a:avLst>
            <a:gd name="adj1" fmla="val 14150"/>
            <a:gd name="adj2" fmla="val 19171"/>
          </a:avLst>
        </a:pr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GB"/>
        </a:p>
      </xdr:txBody>
    </xdr:sp>
    <xdr:clientData/>
  </xdr:twoCellAnchor>
  <xdr:twoCellAnchor>
    <xdr:from>
      <xdr:col>116</xdr:col>
      <xdr:colOff>76200</xdr:colOff>
      <xdr:row>24</xdr:row>
      <xdr:rowOff>50800</xdr:rowOff>
    </xdr:from>
    <xdr:to>
      <xdr:col>122</xdr:col>
      <xdr:colOff>355600</xdr:colOff>
      <xdr:row>35</xdr:row>
      <xdr:rowOff>198582</xdr:rowOff>
    </xdr:to>
    <xdr:graphicFrame macro="">
      <xdr:nvGraphicFramePr>
        <xdr:cNvPr id="62" name="Chart 61">
          <a:extLst>
            <a:ext uri="{FF2B5EF4-FFF2-40B4-BE49-F238E27FC236}">
              <a16:creationId xmlns:a16="http://schemas.microsoft.com/office/drawing/2014/main" id="{E1E12A09-5287-304B-B3D7-073104868E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86</xdr:col>
      <xdr:colOff>88900</xdr:colOff>
      <xdr:row>23</xdr:row>
      <xdr:rowOff>101600</xdr:rowOff>
    </xdr:from>
    <xdr:to>
      <xdr:col>87</xdr:col>
      <xdr:colOff>0</xdr:colOff>
      <xdr:row>24</xdr:row>
      <xdr:rowOff>114301</xdr:rowOff>
    </xdr:to>
    <xdr:cxnSp macro="">
      <xdr:nvCxnSpPr>
        <xdr:cNvPr id="67" name="Straight Arrow Connector 66">
          <a:extLst>
            <a:ext uri="{FF2B5EF4-FFF2-40B4-BE49-F238E27FC236}">
              <a16:creationId xmlns:a16="http://schemas.microsoft.com/office/drawing/2014/main" id="{1740E182-40E5-214C-B85B-D73D7E0EC1A0}"/>
            </a:ext>
          </a:extLst>
        </xdr:cNvPr>
        <xdr:cNvCxnSpPr/>
      </xdr:nvCxnSpPr>
      <xdr:spPr>
        <a:xfrm flipH="1" flipV="1">
          <a:off x="38392100" y="5283200"/>
          <a:ext cx="355600" cy="21590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86</xdr:col>
      <xdr:colOff>76200</xdr:colOff>
      <xdr:row>24</xdr:row>
      <xdr:rowOff>114301</xdr:rowOff>
    </xdr:from>
    <xdr:to>
      <xdr:col>87</xdr:col>
      <xdr:colOff>12700</xdr:colOff>
      <xdr:row>25</xdr:row>
      <xdr:rowOff>165100</xdr:rowOff>
    </xdr:to>
    <xdr:cxnSp macro="">
      <xdr:nvCxnSpPr>
        <xdr:cNvPr id="71" name="Straight Arrow Connector 70">
          <a:extLst>
            <a:ext uri="{FF2B5EF4-FFF2-40B4-BE49-F238E27FC236}">
              <a16:creationId xmlns:a16="http://schemas.microsoft.com/office/drawing/2014/main" id="{AB14B0E8-52C9-4A46-91DF-C3AA1A5772A0}"/>
            </a:ext>
          </a:extLst>
        </xdr:cNvPr>
        <xdr:cNvCxnSpPr/>
      </xdr:nvCxnSpPr>
      <xdr:spPr>
        <a:xfrm flipH="1">
          <a:off x="38379400" y="5499101"/>
          <a:ext cx="381000" cy="253999"/>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80</xdr:col>
      <xdr:colOff>63500</xdr:colOff>
      <xdr:row>25</xdr:row>
      <xdr:rowOff>139700</xdr:rowOff>
    </xdr:from>
    <xdr:to>
      <xdr:col>81</xdr:col>
      <xdr:colOff>38100</xdr:colOff>
      <xdr:row>25</xdr:row>
      <xdr:rowOff>139700</xdr:rowOff>
    </xdr:to>
    <xdr:cxnSp macro="">
      <xdr:nvCxnSpPr>
        <xdr:cNvPr id="74" name="Straight Arrow Connector 73">
          <a:extLst>
            <a:ext uri="{FF2B5EF4-FFF2-40B4-BE49-F238E27FC236}">
              <a16:creationId xmlns:a16="http://schemas.microsoft.com/office/drawing/2014/main" id="{75741DF2-456C-5241-B9E4-0B389867F8CE}"/>
            </a:ext>
          </a:extLst>
        </xdr:cNvPr>
        <xdr:cNvCxnSpPr/>
      </xdr:nvCxnSpPr>
      <xdr:spPr>
        <a:xfrm flipH="1">
          <a:off x="33693100" y="5727700"/>
          <a:ext cx="444500"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110</xdr:col>
      <xdr:colOff>463143</xdr:colOff>
      <xdr:row>29</xdr:row>
      <xdr:rowOff>17294</xdr:rowOff>
    </xdr:from>
    <xdr:to>
      <xdr:col>115</xdr:col>
      <xdr:colOff>341548</xdr:colOff>
      <xdr:row>41</xdr:row>
      <xdr:rowOff>71336</xdr:rowOff>
    </xdr:to>
    <xdr:sp macro="" textlink="">
      <xdr:nvSpPr>
        <xdr:cNvPr id="6" name="Rectangle 5">
          <a:extLst>
            <a:ext uri="{FF2B5EF4-FFF2-40B4-BE49-F238E27FC236}">
              <a16:creationId xmlns:a16="http://schemas.microsoft.com/office/drawing/2014/main" id="{F4921099-24FC-744D-9754-8F23F742B398}"/>
            </a:ext>
          </a:extLst>
        </xdr:cNvPr>
        <xdr:cNvSpPr/>
      </xdr:nvSpPr>
      <xdr:spPr>
        <a:xfrm>
          <a:off x="65138569" y="6407826"/>
          <a:ext cx="4174788" cy="2485957"/>
        </a:xfrm>
        <a:prstGeom prst="rect">
          <a:avLst/>
        </a:prstGeom>
        <a:solidFill>
          <a:srgbClr val="C00000">
            <a:alpha val="50196"/>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oneCellAnchor>
    <xdr:from>
      <xdr:col>111</xdr:col>
      <xdr:colOff>603883</xdr:colOff>
      <xdr:row>33</xdr:row>
      <xdr:rowOff>10813</xdr:rowOff>
    </xdr:from>
    <xdr:ext cx="2777876" cy="937629"/>
    <xdr:sp macro="" textlink="">
      <xdr:nvSpPr>
        <xdr:cNvPr id="7" name="Rectangle 6">
          <a:extLst>
            <a:ext uri="{FF2B5EF4-FFF2-40B4-BE49-F238E27FC236}">
              <a16:creationId xmlns:a16="http://schemas.microsoft.com/office/drawing/2014/main" id="{972388D7-A7B7-AFF3-6A1F-CDA7204C483B}"/>
            </a:ext>
          </a:extLst>
        </xdr:cNvPr>
        <xdr:cNvSpPr/>
      </xdr:nvSpPr>
      <xdr:spPr>
        <a:xfrm>
          <a:off x="65846755" y="7211983"/>
          <a:ext cx="2777876" cy="937629"/>
        </a:xfrm>
        <a:prstGeom prst="rect">
          <a:avLst/>
        </a:prstGeom>
        <a:noFill/>
      </xdr:spPr>
      <xdr:txBody>
        <a:bodyPr wrap="none" lIns="91440" tIns="45720" rIns="91440" bIns="45720">
          <a:spAutoFit/>
        </a:bodyPr>
        <a:lstStyle/>
        <a:p>
          <a:pPr algn="ctr"/>
          <a:r>
            <a:rPr lang="en-GB" sz="5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Not used</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118</xdr:col>
      <xdr:colOff>9525</xdr:colOff>
      <xdr:row>0</xdr:row>
      <xdr:rowOff>184148</xdr:rowOff>
    </xdr:from>
    <xdr:to>
      <xdr:col>124</xdr:col>
      <xdr:colOff>686250</xdr:colOff>
      <xdr:row>0</xdr:row>
      <xdr:rowOff>1084148</xdr:rowOff>
    </xdr:to>
    <xdr:sp macro="" textlink="">
      <xdr:nvSpPr>
        <xdr:cNvPr id="2" name="TextBox 1">
          <a:extLst>
            <a:ext uri="{FF2B5EF4-FFF2-40B4-BE49-F238E27FC236}">
              <a16:creationId xmlns:a16="http://schemas.microsoft.com/office/drawing/2014/main" id="{127888F7-E504-E349-B6FD-2754E2729437}"/>
            </a:ext>
          </a:extLst>
        </xdr:cNvPr>
        <xdr:cNvSpPr txBox="1"/>
      </xdr:nvSpPr>
      <xdr:spPr>
        <a:xfrm>
          <a:off x="15020925" y="184148"/>
          <a:ext cx="5845625" cy="9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900" baseline="0"/>
            <a:t>Columns to clauclate the smooth results</a:t>
          </a: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4</xdr:col>
      <xdr:colOff>421907</xdr:colOff>
      <xdr:row>2</xdr:row>
      <xdr:rowOff>28575</xdr:rowOff>
    </xdr:from>
    <xdr:ext cx="4448910" cy="1036053"/>
    <xdr:sp macro="" textlink="">
      <xdr:nvSpPr>
        <xdr:cNvPr id="2" name="TextBox 1">
          <a:extLst>
            <a:ext uri="{FF2B5EF4-FFF2-40B4-BE49-F238E27FC236}">
              <a16:creationId xmlns:a16="http://schemas.microsoft.com/office/drawing/2014/main" id="{161FF778-1863-4496-8FF1-50E2DA4BBB92}"/>
            </a:ext>
          </a:extLst>
        </xdr:cNvPr>
        <xdr:cNvSpPr txBox="1"/>
      </xdr:nvSpPr>
      <xdr:spPr>
        <a:xfrm>
          <a:off x="2758707" y="307975"/>
          <a:ext cx="4448910" cy="10360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GB" sz="3200" b="1">
              <a:latin typeface="Arial" panose="020B0604020202020204" pitchFamily="34" charset="0"/>
              <a:cs typeface="Arial" panose="020B0604020202020204" pitchFamily="34" charset="0"/>
            </a:rPr>
            <a:t>CycleRAP </a:t>
          </a:r>
          <a:r>
            <a:rPr lang="en-GB" sz="3200" b="1" baseline="0">
              <a:latin typeface="Arial" panose="020B0604020202020204" pitchFamily="34" charset="0"/>
              <a:cs typeface="Arial" panose="020B0604020202020204" pitchFamily="34" charset="0"/>
            </a:rPr>
            <a:t>Star Rating</a:t>
          </a:r>
        </a:p>
        <a:p>
          <a:pPr algn="ctr"/>
          <a:r>
            <a:rPr lang="en-GB" sz="3200" b="1">
              <a:latin typeface="Arial" panose="020B0604020202020204" pitchFamily="34" charset="0"/>
              <a:cs typeface="Arial" panose="020B0604020202020204" pitchFamily="34" charset="0"/>
            </a:rPr>
            <a:t> model</a:t>
          </a:r>
          <a:r>
            <a:rPr lang="en-GB" sz="3200" b="1" baseline="0">
              <a:latin typeface="Arial" panose="020B0604020202020204" pitchFamily="34" charset="0"/>
              <a:cs typeface="Arial" panose="020B0604020202020204" pitchFamily="34" charset="0"/>
            </a:rPr>
            <a:t> testbed</a:t>
          </a:r>
          <a:endParaRPr lang="en-GB" sz="1600" b="0">
            <a:latin typeface="Arial" panose="020B0604020202020204" pitchFamily="34" charset="0"/>
            <a:cs typeface="Arial" panose="020B0604020202020204" pitchFamily="34" charset="0"/>
          </a:endParaRPr>
        </a:p>
      </xdr:txBody>
    </xdr:sp>
    <xdr:clientData/>
  </xdr:oneCellAnchor>
  <xdr:twoCellAnchor editAs="oneCell">
    <xdr:from>
      <xdr:col>0</xdr:col>
      <xdr:colOff>352425</xdr:colOff>
      <xdr:row>3</xdr:row>
      <xdr:rowOff>126302</xdr:rowOff>
    </xdr:from>
    <xdr:to>
      <xdr:col>4</xdr:col>
      <xdr:colOff>152401</xdr:colOff>
      <xdr:row>9</xdr:row>
      <xdr:rowOff>49556</xdr:rowOff>
    </xdr:to>
    <xdr:pic>
      <xdr:nvPicPr>
        <xdr:cNvPr id="4" name="Picture 3">
          <a:extLst>
            <a:ext uri="{FF2B5EF4-FFF2-40B4-BE49-F238E27FC236}">
              <a16:creationId xmlns:a16="http://schemas.microsoft.com/office/drawing/2014/main" id="{44B3601C-0A75-4097-A184-EE63A1338B1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2425" y="545402"/>
          <a:ext cx="2136776" cy="761454"/>
        </a:xfrm>
        <a:prstGeom prst="rect">
          <a:avLst/>
        </a:prstGeom>
      </xdr:spPr>
    </xdr:pic>
    <xdr:clientData/>
  </xdr:twoCellAnchor>
  <xdr:twoCellAnchor editAs="oneCell">
    <xdr:from>
      <xdr:col>12</xdr:col>
      <xdr:colOff>279400</xdr:colOff>
      <xdr:row>3</xdr:row>
      <xdr:rowOff>38100</xdr:rowOff>
    </xdr:from>
    <xdr:to>
      <xdr:col>17</xdr:col>
      <xdr:colOff>67945</xdr:colOff>
      <xdr:row>8</xdr:row>
      <xdr:rowOff>12700</xdr:rowOff>
    </xdr:to>
    <xdr:pic>
      <xdr:nvPicPr>
        <xdr:cNvPr id="6" name="Picture 5" descr="Logo&#10;&#10;Description automatically generated">
          <a:extLst>
            <a:ext uri="{FF2B5EF4-FFF2-40B4-BE49-F238E27FC236}">
              <a16:creationId xmlns:a16="http://schemas.microsoft.com/office/drawing/2014/main" id="{B6809BD0-4B2D-8747-888F-65DCFBCB80E9}"/>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0892" t="42200" r="9623" b="38708"/>
        <a:stretch/>
      </xdr:blipFill>
      <xdr:spPr bwMode="auto">
        <a:xfrm>
          <a:off x="7289800" y="457200"/>
          <a:ext cx="2709545" cy="673100"/>
        </a:xfrm>
        <a:prstGeom prst="rect">
          <a:avLst/>
        </a:prstGeom>
        <a:ln>
          <a:noFill/>
        </a:ln>
        <a:extLst>
          <a:ext uri="{53640926-AAD7-44D8-BBD7-CCE9431645EC}">
            <a14:shadowObscured xmlns:a14="http://schemas.microsoft.com/office/drawing/2010/main"/>
          </a:ext>
        </a:extLst>
      </xdr:spPr>
    </xdr:pic>
    <xdr:clientData/>
  </xdr:twoCellAnchor>
  <xdr:oneCellAnchor>
    <xdr:from>
      <xdr:col>3</xdr:col>
      <xdr:colOff>152400</xdr:colOff>
      <xdr:row>12</xdr:row>
      <xdr:rowOff>50800</xdr:rowOff>
    </xdr:from>
    <xdr:ext cx="6019800" cy="1124026"/>
    <xdr:sp macro="" textlink="">
      <xdr:nvSpPr>
        <xdr:cNvPr id="7" name="TextBox 6">
          <a:extLst>
            <a:ext uri="{FF2B5EF4-FFF2-40B4-BE49-F238E27FC236}">
              <a16:creationId xmlns:a16="http://schemas.microsoft.com/office/drawing/2014/main" id="{8E8B64E4-A0C9-7943-99DE-8AE24E1EE892}"/>
            </a:ext>
          </a:extLst>
        </xdr:cNvPr>
        <xdr:cNvSpPr txBox="1"/>
      </xdr:nvSpPr>
      <xdr:spPr>
        <a:xfrm>
          <a:off x="1905000" y="1727200"/>
          <a:ext cx="6019800" cy="11240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GB" sz="1400" b="0" baseline="0">
              <a:solidFill>
                <a:srgbClr val="FF0000"/>
              </a:solidFill>
              <a:latin typeface="Arial" panose="020B0604020202020204" pitchFamily="34" charset="0"/>
              <a:cs typeface="Arial" panose="020B0604020202020204" pitchFamily="34" charset="0"/>
            </a:rPr>
            <a:t>This file is provided for CycleRAP model testing only. </a:t>
          </a:r>
        </a:p>
        <a:p>
          <a:pPr algn="ctr"/>
          <a:r>
            <a:rPr lang="en-GB" sz="1400" b="0" baseline="0">
              <a:solidFill>
                <a:srgbClr val="FF0000"/>
              </a:solidFill>
              <a:latin typeface="Arial" panose="020B0604020202020204" pitchFamily="34" charset="0"/>
              <a:cs typeface="Arial" panose="020B0604020202020204" pitchFamily="34" charset="0"/>
            </a:rPr>
            <a:t>It must not be distributed or shared without prior permission of iRAP.</a:t>
          </a:r>
        </a:p>
        <a:p>
          <a:pPr algn="ctr"/>
          <a:endParaRPr lang="en-GB" sz="1400" b="0" baseline="0">
            <a:solidFill>
              <a:srgbClr val="FF0000"/>
            </a:solidFill>
            <a:latin typeface="Arial" panose="020B0604020202020204" pitchFamily="34" charset="0"/>
            <a:cs typeface="Arial" panose="020B0604020202020204" pitchFamily="34" charset="0"/>
          </a:endParaRPr>
        </a:p>
        <a:p>
          <a:pPr algn="ctr"/>
          <a:r>
            <a:rPr lang="en-GB" sz="1400" b="0" baseline="0">
              <a:solidFill>
                <a:srgbClr val="FF0000"/>
              </a:solidFill>
              <a:latin typeface="Arial" panose="020B0604020202020204" pitchFamily="34" charset="0"/>
              <a:cs typeface="Arial" panose="020B0604020202020204" pitchFamily="34" charset="0"/>
            </a:rPr>
            <a:t>Any queries with regard to the use of this file should be made to monica.olyslagers@irap.org </a:t>
          </a:r>
        </a:p>
      </xdr:txBody>
    </xdr:sp>
    <xdr:clientData/>
  </xdr:oneCellAnchor>
  <xdr:twoCellAnchor>
    <xdr:from>
      <xdr:col>2</xdr:col>
      <xdr:colOff>228600</xdr:colOff>
      <xdr:row>20</xdr:row>
      <xdr:rowOff>114301</xdr:rowOff>
    </xdr:from>
    <xdr:to>
      <xdr:col>14</xdr:col>
      <xdr:colOff>434975</xdr:colOff>
      <xdr:row>105</xdr:row>
      <xdr:rowOff>127001</xdr:rowOff>
    </xdr:to>
    <xdr:sp macro="" textlink="">
      <xdr:nvSpPr>
        <xdr:cNvPr id="8" name="TextBox 4">
          <a:extLst>
            <a:ext uri="{FF2B5EF4-FFF2-40B4-BE49-F238E27FC236}">
              <a16:creationId xmlns:a16="http://schemas.microsoft.com/office/drawing/2014/main" id="{FD7432D5-F91C-4757-AFBC-2F5B25239ED3}"/>
            </a:ext>
          </a:extLst>
        </xdr:cNvPr>
        <xdr:cNvSpPr txBox="1"/>
      </xdr:nvSpPr>
      <xdr:spPr>
        <a:xfrm>
          <a:off x="1397000" y="2908301"/>
          <a:ext cx="7216775" cy="1188720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In order for you to use or store this model testbed, you must agree to the Terms and Conditions of this licence. This protects the interests of those that have given the content or background copyright material which it contains and to keep safe the ongoing development and iRAP's programme of charitable work.</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If you do not agree you are required to permanently delete the file and associated media.</a:t>
          </a:r>
          <a:endParaRPr lang="en-AU" sz="1000">
            <a:effectLst/>
            <a:latin typeface="Arial" panose="020B0604020202020204" pitchFamily="34" charset="0"/>
            <a:ea typeface="Calibri" panose="020F0502020204030204" pitchFamily="34" charset="0"/>
            <a:cs typeface="Times New Roman (Body CS)"/>
          </a:endParaRPr>
        </a:p>
        <a:p>
          <a:pPr algn="ctr">
            <a:lnSpc>
              <a:spcPct val="115000"/>
            </a:lnSpc>
            <a:spcBef>
              <a:spcPts val="600"/>
            </a:spcBef>
          </a:pPr>
          <a:r>
            <a:rPr lang="en-GB" sz="1100" b="1">
              <a:solidFill>
                <a:srgbClr val="000000"/>
              </a:solidFill>
              <a:effectLst/>
              <a:ea typeface="Calibri" panose="020F0502020204030204" pitchFamily="34" charset="0"/>
              <a:cs typeface="Times New Roman" panose="02020603050405020304" pitchFamily="18" charset="0"/>
            </a:rPr>
            <a:t> </a:t>
          </a:r>
          <a:endParaRPr lang="en-AU" sz="1000">
            <a:effectLst/>
            <a:latin typeface="Arial" panose="020B0604020202020204" pitchFamily="34" charset="0"/>
            <a:ea typeface="Calibri" panose="020F0502020204030204" pitchFamily="34" charset="0"/>
            <a:cs typeface="Times New Roman (Body CS)"/>
          </a:endParaRPr>
        </a:p>
        <a:p>
          <a:pPr algn="ctr">
            <a:lnSpc>
              <a:spcPct val="115000"/>
            </a:lnSpc>
            <a:spcBef>
              <a:spcPts val="600"/>
            </a:spcBef>
          </a:pPr>
          <a:r>
            <a:rPr lang="en-GB" sz="1100" b="1">
              <a:solidFill>
                <a:srgbClr val="000000"/>
              </a:solidFill>
              <a:effectLst/>
              <a:ea typeface="Calibri" panose="020F0502020204030204" pitchFamily="34" charset="0"/>
              <a:cs typeface="Times New Roman" panose="02020603050405020304" pitchFamily="18" charset="0"/>
            </a:rPr>
            <a:t>Terms and Conditions</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A. The CycleRAP model has been created by iRAP with financial and in-kind support from charitable foundations, governments, development institutions, companies, research centres and individuals worldwide. </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B. iRAP is a charity registered in England and Wales (number 1140357). iRAP was established to support the UN Decade of Action for Road Safety 2011-2020. iRAP's objectives relate to the promotion of safer road use and infrastructure in the public interest and iRAP is regulated by the Charity Commission.</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C. iRAP holds and administers the rights to use CycleRAP for general benefit. We want its use to help make the world's roads safer to use.</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Now The Licensee Agrees: </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1. By entering into this Licence agreement, and subject to its terms, you agree to be licensed to use the Testbed for a period of 1 years commencing on the date of this Licence agreement.</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2. The CycleRAP model, its testbed and its content are legally protected by copyright, trademarks, design rights and/or other relevant proprietary rights within the UK, the European Union and other countries, and you agree to abide by these rights and laws. </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3. Copyrights, trademarks, design rights and all other intellectual property rights created by developing the iRAP CycleRAP model or in the testbed are held by and remains vested in iRAP or in the third parties that have granted iRAP rights to use their content or other intellectual property. You agree that this licence to use the iRAP CycleRAP testbed including its associated content grants you no right, title or interest in any intellectual property rights held by such third parties and/or by iRAP.</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4. You may not reproduce content outside the iRAP CycleRAP testbed without the prior consent of iRAP. iRAP will endeavour to arrange appropriate permissions for you to reproduce such material if, in the sole judgement of iRAP, you have a reasonable request for public interest purposes. Applications can be made by email to </a:t>
          </a:r>
          <a:r>
            <a:rPr lang="en-GB" sz="1100" u="sng">
              <a:solidFill>
                <a:srgbClr val="000000"/>
              </a:solidFill>
              <a:effectLst/>
              <a:ea typeface="Calibri" panose="020F0502020204030204" pitchFamily="34" charset="0"/>
              <a:cs typeface="Times New Roman" panose="02020603050405020304" pitchFamily="18" charset="0"/>
            </a:rPr>
            <a:t>monica.olyslagers@irap.org</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5. You must not copy or reverse engineer the iRAP CycleRAP model, testbed or its content in any way (in whole or part). You must not incorporate any or all of iRAP CycleRAP model or testbed in any other device or system. You must not sell, loan, lease, sub-lease or distribute any part of iRAP CycleRAP testbed or its content.</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6. Your use of iRAP CycleRAP testbed for any purpose is entirely at your own risk. iRAP gives no warranty whatsoever about the performance of the iRAP CycleRAP testbed or the accuracy or completeness of the content. iRAP and iRAP affiliates, directors, officers, employees, agents, contractors, donors, contributors and stakeholders accept no liability whatsoever for any loss or damage caused which may result from your use of or reliance on iRAP CycleRAP testbed, however caused.</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7. iRAP may suspend or discontinue all access to CycleRAP testbed at any time. Without prejudice to any other rights iRAP may then hold, iRAP may terminate this licence agreement with immediate effect in the event that you are in material breach of any of these terms and conditions. Upon termination or suspension of this licence, you will immediately discontinue all use of and delete the iRAP CycleRAP testbed and its content.</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8. You agree that this iRAP CycleRAP testbed licence agreement is governed by the laws of England and Wales. You and iRAP agree to submit to the jurisdiction of the Courts located within England and Wales. You agree that the only version of the licence agreement which governs the arrangements between you and iRAP regarding the iRAP CycleRAP testbed is the current English version.</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9. If iRAP does not exercise any right or provision in this Agreement then this does not constitute any form of waiver. If any provision of this Agreement is found by a court of competent jurisdiction to be invalid then notwithstanding this finding you and iRAP agree that the court should endeavour to give effect to the intentions both of that provision and the full Agreement.</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10. Nothing in this Licence agreement creates any form of partnership between the parties hereto, and neither party may purport to act on behalf of or to represent the other.</a:t>
          </a:r>
          <a:endParaRPr lang="en-AU" sz="1000">
            <a:effectLst/>
            <a:latin typeface="Arial" panose="020B0604020202020204" pitchFamily="34" charset="0"/>
            <a:ea typeface="Calibri" panose="020F0502020204030204" pitchFamily="34" charset="0"/>
            <a:cs typeface="Times New Roman (Body CS)"/>
          </a:endParaRPr>
        </a:p>
        <a:p>
          <a:pPr algn="just">
            <a:lnSpc>
              <a:spcPct val="115000"/>
            </a:lnSpc>
            <a:spcBef>
              <a:spcPts val="600"/>
            </a:spcBef>
          </a:pPr>
          <a:r>
            <a:rPr lang="en-GB" sz="1100">
              <a:solidFill>
                <a:srgbClr val="000000"/>
              </a:solidFill>
              <a:effectLst/>
              <a:ea typeface="Calibri" panose="020F0502020204030204" pitchFamily="34" charset="0"/>
              <a:cs typeface="Times New Roman" panose="02020603050405020304" pitchFamily="18" charset="0"/>
            </a:rPr>
            <a:t>11. This Licence agreement forms a legally binding contract. If you do not accept all of these terms and conditions then you will hold no licence to use iRAP CycleRAP testbed. iRAP reserves the right to amend or update this Licence agreement from time to time, with any such amendments being distributed to all users. You agree to accept any amended or updated terms following such posting by continuing to use iRAP CycleRAP testbed. If you use an updated version of iRAP CycleRAP testbed you accept the iRAP Terms and Conditions which are then current.</a:t>
          </a:r>
          <a:endParaRPr lang="en-AU" sz="1000">
            <a:effectLst/>
            <a:latin typeface="Arial" panose="020B0604020202020204" pitchFamily="34" charset="0"/>
            <a:ea typeface="Calibri" panose="020F0502020204030204" pitchFamily="34" charset="0"/>
            <a:cs typeface="Times New Roman (Body 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38100</xdr:colOff>
      <xdr:row>94</xdr:row>
      <xdr:rowOff>76200</xdr:rowOff>
    </xdr:from>
    <xdr:to>
      <xdr:col>9</xdr:col>
      <xdr:colOff>673100</xdr:colOff>
      <xdr:row>124</xdr:row>
      <xdr:rowOff>50800</xdr:rowOff>
    </xdr:to>
    <xdr:sp macro="" textlink="">
      <xdr:nvSpPr>
        <xdr:cNvPr id="2" name="TextBox 1">
          <a:extLst>
            <a:ext uri="{FF2B5EF4-FFF2-40B4-BE49-F238E27FC236}">
              <a16:creationId xmlns:a16="http://schemas.microsoft.com/office/drawing/2014/main" id="{85209311-D2C2-684B-9D6E-0255D06CF281}"/>
            </a:ext>
          </a:extLst>
        </xdr:cNvPr>
        <xdr:cNvSpPr txBox="1"/>
      </xdr:nvSpPr>
      <xdr:spPr>
        <a:xfrm>
          <a:off x="38100" y="5854700"/>
          <a:ext cx="6921500" cy="4546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Risk</a:t>
          </a:r>
          <a:r>
            <a:rPr lang="en-US" sz="1100" baseline="0"/>
            <a:t> factors updates</a:t>
          </a:r>
        </a:p>
        <a:p>
          <a:r>
            <a:rPr lang="en-US" sz="1100" baseline="0"/>
            <a:t>- </a:t>
          </a:r>
          <a:r>
            <a:rPr lang="en-US" sz="1100" i="1" baseline="0"/>
            <a:t>Adjacent severe hazard 0-1m</a:t>
          </a:r>
          <a:r>
            <a:rPr lang="en-US" sz="1100" baseline="0"/>
            <a:t>: new risk factor 1.8, old risk factor 1.5</a:t>
          </a:r>
        </a:p>
        <a:p>
          <a:r>
            <a:rPr lang="en-US" sz="1100" baseline="0">
              <a:solidFill>
                <a:sysClr val="windowText" lastClr="000000"/>
              </a:solidFill>
            </a:rPr>
            <a:t>- </a:t>
          </a:r>
          <a:r>
            <a:rPr lang="en-US" sz="1100" i="1" baseline="0">
              <a:solidFill>
                <a:sysClr val="windowText" lastClr="000000"/>
              </a:solidFill>
            </a:rPr>
            <a:t>Adjacent severe hazard 1-3m</a:t>
          </a:r>
          <a:r>
            <a:rPr lang="en-US" sz="1100" baseline="0">
              <a:solidFill>
                <a:sysClr val="windowText" lastClr="000000"/>
              </a:solidFill>
            </a:rPr>
            <a:t>: new risk factor 1.5, old risk factor 1.2</a:t>
          </a:r>
        </a:p>
        <a:p>
          <a:r>
            <a:rPr lang="en-US" sz="1100">
              <a:solidFill>
                <a:sysClr val="windowText" lastClr="000000"/>
              </a:solidFill>
            </a:rPr>
            <a:t>- </a:t>
          </a:r>
          <a:r>
            <a:rPr lang="en-US" sz="1100" i="1">
              <a:solidFill>
                <a:sysClr val="windowText" lastClr="000000"/>
              </a:solidFill>
            </a:rPr>
            <a:t>Grade</a:t>
          </a:r>
          <a:r>
            <a:rPr lang="en-US" sz="1100">
              <a:solidFill>
                <a:sysClr val="windowText" lastClr="000000"/>
              </a:solidFill>
            </a:rPr>
            <a:t>: </a:t>
          </a:r>
          <a:r>
            <a:rPr lang="en-US" sz="1100" baseline="0">
              <a:solidFill>
                <a:sysClr val="windowText" lastClr="000000"/>
              </a:solidFill>
            </a:rPr>
            <a:t>new risk factor 1.5, old risk factor 1.2 </a:t>
          </a:r>
        </a:p>
        <a:p>
          <a:r>
            <a:rPr lang="en-US" sz="1100"/>
            <a:t>-</a:t>
          </a:r>
          <a:r>
            <a:rPr lang="en-US" sz="1100" baseline="0"/>
            <a:t> </a:t>
          </a:r>
          <a:r>
            <a:rPr lang="en-US" sz="1100" i="1"/>
            <a:t>Curvature</a:t>
          </a:r>
          <a:r>
            <a:rPr lang="en-US" sz="1100"/>
            <a:t>: </a:t>
          </a:r>
          <a:r>
            <a:rPr lang="en-US" sz="1100" baseline="0"/>
            <a:t>new risk factor 1.5, old risk factor 1.2</a:t>
          </a:r>
          <a:endParaRPr lang="en-US" sz="1100"/>
        </a:p>
        <a:p>
          <a:r>
            <a:rPr lang="en-US" sz="1100" baseline="0"/>
            <a:t>- </a:t>
          </a:r>
          <a:r>
            <a:rPr lang="en-US" sz="1100" i="1"/>
            <a:t>Loose or slippery surface</a:t>
          </a:r>
          <a:r>
            <a:rPr lang="en-US" sz="1100"/>
            <a:t>: </a:t>
          </a:r>
          <a:r>
            <a:rPr lang="en-US" sz="1100" baseline="0"/>
            <a:t>new risk factor 1.5, old risk factor 1.2</a:t>
          </a:r>
          <a:endParaRPr lang="en-US" sz="1100"/>
        </a:p>
        <a:p>
          <a:r>
            <a:rPr lang="en-US" sz="1100"/>
            <a:t>- </a:t>
          </a:r>
          <a:r>
            <a:rPr lang="en-US" sz="1100" b="0" i="1" u="none" strike="noStrike">
              <a:solidFill>
                <a:schemeClr val="dk1"/>
              </a:solidFill>
              <a:effectLst/>
              <a:latin typeface="+mn-lt"/>
              <a:ea typeface="+mn-ea"/>
              <a:cs typeface="+mn-cs"/>
            </a:rPr>
            <a:t>Facility width per direction</a:t>
          </a:r>
          <a:r>
            <a:rPr lang="en-US" sz="1100"/>
            <a:t>: </a:t>
          </a:r>
          <a:r>
            <a:rPr lang="en-US" sz="1100" baseline="0"/>
            <a:t>new risk factor 1.5, old risk factor 1.2</a:t>
          </a:r>
        </a:p>
        <a:p>
          <a:r>
            <a:rPr lang="en-US" sz="1100" baseline="0"/>
            <a:t>- </a:t>
          </a:r>
          <a:r>
            <a:rPr lang="en-US" sz="1100" i="1" baseline="0"/>
            <a:t>Flow direction</a:t>
          </a:r>
          <a:r>
            <a:rPr lang="en-US" sz="1100"/>
            <a:t>: </a:t>
          </a:r>
          <a:r>
            <a:rPr lang="en-US" sz="1100" baseline="0"/>
            <a:t>new risk factor 1.5, old risk factor 1.2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0" i="1" u="none" strike="noStrike">
              <a:solidFill>
                <a:schemeClr val="dk1"/>
              </a:solidFill>
              <a:effectLst/>
              <a:latin typeface="+mn-lt"/>
              <a:ea typeface="+mn-ea"/>
              <a:cs typeface="+mn-cs"/>
            </a:rPr>
            <a:t>Bicycle/LV speed </a:t>
          </a:r>
          <a:r>
            <a:rPr lang="en-US" sz="1100" b="0" i="0" u="none" strike="noStrike">
              <a:solidFill>
                <a:schemeClr val="dk1"/>
              </a:solidFill>
              <a:effectLst/>
              <a:latin typeface="+mn-lt"/>
              <a:ea typeface="+mn-ea"/>
              <a:cs typeface="+mn-cs"/>
            </a:rPr>
            <a:t>– average</a:t>
          </a:r>
          <a:r>
            <a:rPr lang="en-US" sz="1100"/>
            <a:t>: </a:t>
          </a:r>
          <a:r>
            <a:rPr lang="en-US" sz="1100" baseline="0"/>
            <a:t>new risk factor 1.5, old risk factor 1.2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i="1" baseline="0"/>
            <a:t>Crossing facilities </a:t>
          </a:r>
          <a:r>
            <a:rPr lang="en-US" sz="1100" baseline="0"/>
            <a:t>- Conditional risk factor combined with </a:t>
          </a:r>
          <a:r>
            <a:rPr lang="en-US" sz="1100" b="0" i="1" u="none" strike="noStrike" baseline="0">
              <a:solidFill>
                <a:schemeClr val="dk1"/>
              </a:solidFill>
              <a:effectLst/>
              <a:latin typeface="+mn-lt"/>
              <a:ea typeface="+mn-ea"/>
              <a:cs typeface="+mn-cs"/>
            </a:rPr>
            <a:t>p</a:t>
          </a:r>
          <a:r>
            <a:rPr lang="en-US" sz="1100" b="0" i="1" u="none" strike="noStrike">
              <a:solidFill>
                <a:schemeClr val="dk1"/>
              </a:solidFill>
              <a:effectLst/>
              <a:latin typeface="+mn-lt"/>
              <a:ea typeface="+mn-ea"/>
              <a:cs typeface="+mn-cs"/>
            </a:rPr>
            <a:t>roperty access</a:t>
          </a:r>
          <a:r>
            <a:rPr lang="en-US" i="1"/>
            <a:t> </a:t>
          </a:r>
          <a:r>
            <a:rPr lang="en-US"/>
            <a:t>and </a:t>
          </a:r>
          <a:r>
            <a:rPr lang="en-US" sz="1100" b="0" i="1" u="none" strike="noStrike">
              <a:solidFill>
                <a:schemeClr val="dk1"/>
              </a:solidFill>
              <a:effectLst/>
              <a:latin typeface="+mn-lt"/>
              <a:ea typeface="+mn-ea"/>
              <a:cs typeface="+mn-cs"/>
            </a:rPr>
            <a:t>intersection or road crossing</a:t>
          </a:r>
          <a:r>
            <a:rPr lang="en-US" i="1"/>
            <a:t> </a:t>
          </a:r>
          <a:endParaRPr lang="en-US" sz="1100" i="1" baseline="0"/>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New outcomes for V-B crashes: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The </a:t>
          </a:r>
          <a:r>
            <a:rPr lang="en-US" sz="1100" i="1" baseline="0"/>
            <a:t>conflict with motorised vehicle </a:t>
          </a:r>
          <a:r>
            <a:rPr lang="en-US" sz="1100" baseline="0"/>
            <a:t>was split in there different outcomes:</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0" i="0" u="none" strike="noStrike">
              <a:solidFill>
                <a:schemeClr val="dk1"/>
              </a:solidFill>
              <a:effectLst/>
              <a:latin typeface="+mn-lt"/>
              <a:ea typeface="+mn-ea"/>
              <a:cs typeface="+mn-cs"/>
            </a:rPr>
            <a:t>Conflict with motorised vehicle - Share space</a:t>
          </a:r>
          <a:r>
            <a:rPr lang="en-US"/>
            <a:t> </a:t>
          </a: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0" i="0" u="none" strike="noStrike">
              <a:solidFill>
                <a:schemeClr val="dk1"/>
              </a:solidFill>
              <a:effectLst/>
              <a:latin typeface="+mn-lt"/>
              <a:ea typeface="+mn-ea"/>
              <a:cs typeface="+mn-cs"/>
            </a:rPr>
            <a:t>Conflict with motorised vehicle - Vehicle deviation </a:t>
          </a:r>
          <a:r>
            <a:rPr lang="en-US"/>
            <a:t> </a:t>
          </a: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0" i="0" u="none" strike="noStrike">
              <a:solidFill>
                <a:schemeClr val="dk1"/>
              </a:solidFill>
              <a:effectLst/>
              <a:latin typeface="+mn-lt"/>
              <a:ea typeface="+mn-ea"/>
              <a:cs typeface="+mn-cs"/>
            </a:rPr>
            <a:t>Conflict with motorised vehicle - Crossing risk</a:t>
          </a:r>
          <a:r>
            <a:rPr lang="en-US"/>
            <a:t> </a:t>
          </a: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New attributes</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i="1" baseline="0"/>
            <a:t>Delineation</a:t>
          </a:r>
          <a:r>
            <a:rPr lang="en-US" sz="1100" baseline="0"/>
            <a:t> --&gt; Contributing factor to </a:t>
          </a:r>
          <a:r>
            <a:rPr lang="en-US" sz="1100" i="1" baseline="0"/>
            <a:t>avoidance manoeuvre </a:t>
          </a:r>
          <a:r>
            <a:rPr lang="en-US" sz="1100" baseline="0"/>
            <a:t>/ Combined attribute with </a:t>
          </a:r>
          <a:r>
            <a:rPr lang="en-US" sz="1100" i="1" baseline="0"/>
            <a:t>vehicle parking </a:t>
          </a:r>
          <a:r>
            <a:rPr lang="en-US" sz="1100" baseline="0"/>
            <a:t>as contributing factor to </a:t>
          </a:r>
          <a:r>
            <a:rPr lang="en-US" sz="1100" i="1" baseline="0"/>
            <a:t>vehicle impact</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i="1" baseline="0"/>
            <a:t>Light segregation </a:t>
          </a:r>
          <a:r>
            <a:rPr lang="en-US" sz="1100" baseline="0"/>
            <a:t>--&gt; Conditional factor to </a:t>
          </a:r>
          <a:r>
            <a:rPr lang="en-US" sz="1100" b="0" i="1" u="none" strike="noStrike" baseline="0">
              <a:solidFill>
                <a:schemeClr val="dk1"/>
              </a:solidFill>
              <a:effectLst/>
              <a:latin typeface="+mn-lt"/>
              <a:ea typeface="+mn-ea"/>
              <a:cs typeface="+mn-cs"/>
            </a:rPr>
            <a:t>c</a:t>
          </a:r>
          <a:r>
            <a:rPr lang="en-US" sz="1100" b="0" i="1" u="none" strike="noStrike">
              <a:solidFill>
                <a:schemeClr val="dk1"/>
              </a:solidFill>
              <a:effectLst/>
              <a:latin typeface="+mn-lt"/>
              <a:ea typeface="+mn-ea"/>
              <a:cs typeface="+mn-cs"/>
            </a:rPr>
            <a:t>onflict with motorised vehicle - Vehicle deviation </a:t>
          </a:r>
          <a:r>
            <a:rPr lang="en-US" i="1"/>
            <a:t> </a:t>
          </a:r>
          <a:r>
            <a:rPr lang="en-US"/>
            <a:t>/ Combined attribute with</a:t>
          </a:r>
          <a:r>
            <a:rPr lang="en-US" baseline="0"/>
            <a:t> </a:t>
          </a:r>
          <a:r>
            <a:rPr lang="en-US" i="1" baseline="0"/>
            <a:t>adjacent road lanes 0-1m and 1-3m</a:t>
          </a:r>
          <a:r>
            <a:rPr lang="en-US" baseline="0"/>
            <a:t>. </a:t>
          </a:r>
        </a:p>
        <a:p>
          <a:pPr marL="0" marR="0" lvl="0" indent="0" defTabSz="914400" eaLnBrk="1" fontAlgn="auto" latinLnBrk="0" hangingPunct="1">
            <a:lnSpc>
              <a:spcPct val="100000"/>
            </a:lnSpc>
            <a:spcBef>
              <a:spcPts val="0"/>
            </a:spcBef>
            <a:spcAft>
              <a:spcPts val="0"/>
            </a:spcAft>
            <a:buClrTx/>
            <a:buSzTx/>
            <a:buFontTx/>
            <a:buNone/>
            <a:tabLst/>
            <a:defRPr/>
          </a:pPr>
          <a:endParaRPr lang="en-US" baseline="0"/>
        </a:p>
        <a:p>
          <a:pPr marL="0" marR="0" lvl="0" indent="0" defTabSz="914400" eaLnBrk="1" fontAlgn="auto" latinLnBrk="0" hangingPunct="1">
            <a:lnSpc>
              <a:spcPct val="100000"/>
            </a:lnSpc>
            <a:spcBef>
              <a:spcPts val="0"/>
            </a:spcBef>
            <a:spcAft>
              <a:spcPts val="0"/>
            </a:spcAft>
            <a:buClrTx/>
            <a:buSzTx/>
            <a:buFontTx/>
            <a:buNone/>
            <a:tabLst/>
            <a:defRPr/>
          </a:pPr>
          <a:endParaRPr lang="en-US" baseline="0"/>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p>
      </xdr:txBody>
    </xdr:sp>
    <xdr:clientData/>
  </xdr:twoCellAnchor>
  <xdr:oneCellAnchor>
    <xdr:from>
      <xdr:col>0</xdr:col>
      <xdr:colOff>38100</xdr:colOff>
      <xdr:row>90</xdr:row>
      <xdr:rowOff>63500</xdr:rowOff>
    </xdr:from>
    <xdr:ext cx="6950942" cy="564193"/>
    <xdr:sp macro="" textlink="">
      <xdr:nvSpPr>
        <xdr:cNvPr id="3" name="TextBox 2">
          <a:extLst>
            <a:ext uri="{FF2B5EF4-FFF2-40B4-BE49-F238E27FC236}">
              <a16:creationId xmlns:a16="http://schemas.microsoft.com/office/drawing/2014/main" id="{328C3FAC-4E13-8247-857C-E83309E1C5E0}"/>
            </a:ext>
          </a:extLst>
        </xdr:cNvPr>
        <xdr:cNvSpPr txBox="1"/>
      </xdr:nvSpPr>
      <xdr:spPr>
        <a:xfrm>
          <a:off x="38100" y="5232400"/>
          <a:ext cx="6950942" cy="5641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rial" panose="020B0604020202020204" pitchFamily="34" charset="0"/>
              <a:cs typeface="Arial" panose="020B0604020202020204" pitchFamily="34" charset="0"/>
            </a:rPr>
            <a:t>Cycle</a:t>
          </a:r>
          <a:r>
            <a:rPr lang="en-GB" sz="3200" b="1" baseline="0">
              <a:latin typeface="Arial" panose="020B0604020202020204" pitchFamily="34" charset="0"/>
              <a:cs typeface="Arial" panose="020B0604020202020204" pitchFamily="34" charset="0"/>
            </a:rPr>
            <a:t>RAP Model updates 13.07.21 </a:t>
          </a:r>
          <a:endParaRPr lang="en-GB" sz="1600" b="0">
            <a:latin typeface="Arial" panose="020B0604020202020204" pitchFamily="34" charset="0"/>
            <a:cs typeface="Arial" panose="020B0604020202020204" pitchFamily="34" charset="0"/>
          </a:endParaRPr>
        </a:p>
      </xdr:txBody>
    </xdr:sp>
    <xdr:clientData/>
  </xdr:oneCellAnchor>
  <xdr:oneCellAnchor>
    <xdr:from>
      <xdr:col>0</xdr:col>
      <xdr:colOff>0</xdr:colOff>
      <xdr:row>57</xdr:row>
      <xdr:rowOff>0</xdr:rowOff>
    </xdr:from>
    <xdr:ext cx="6957867" cy="564193"/>
    <xdr:sp macro="" textlink="">
      <xdr:nvSpPr>
        <xdr:cNvPr id="4" name="TextBox 3">
          <a:extLst>
            <a:ext uri="{FF2B5EF4-FFF2-40B4-BE49-F238E27FC236}">
              <a16:creationId xmlns:a16="http://schemas.microsoft.com/office/drawing/2014/main" id="{6D2240C0-1DA2-BF47-82E8-D547E0A16C55}"/>
            </a:ext>
          </a:extLst>
        </xdr:cNvPr>
        <xdr:cNvSpPr txBox="1"/>
      </xdr:nvSpPr>
      <xdr:spPr>
        <a:xfrm>
          <a:off x="0" y="127000"/>
          <a:ext cx="6957867" cy="5641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rial" panose="020B0604020202020204" pitchFamily="34" charset="0"/>
              <a:cs typeface="Arial" panose="020B0604020202020204" pitchFamily="34" charset="0"/>
            </a:rPr>
            <a:t>Cycle</a:t>
          </a:r>
          <a:r>
            <a:rPr lang="en-GB" sz="3200" b="1" baseline="0">
              <a:latin typeface="Arial" panose="020B0604020202020204" pitchFamily="34" charset="0"/>
              <a:cs typeface="Arial" panose="020B0604020202020204" pitchFamily="34" charset="0"/>
            </a:rPr>
            <a:t>RAP Model updates 29.09.21 </a:t>
          </a:r>
          <a:endParaRPr lang="en-GB" sz="1600" b="0">
            <a:latin typeface="Arial" panose="020B0604020202020204" pitchFamily="34" charset="0"/>
            <a:cs typeface="Arial" panose="020B0604020202020204" pitchFamily="34" charset="0"/>
          </a:endParaRPr>
        </a:p>
      </xdr:txBody>
    </xdr:sp>
    <xdr:clientData/>
  </xdr:oneCellAnchor>
  <xdr:twoCellAnchor>
    <xdr:from>
      <xdr:col>0</xdr:col>
      <xdr:colOff>50800</xdr:colOff>
      <xdr:row>61</xdr:row>
      <xdr:rowOff>12700</xdr:rowOff>
    </xdr:from>
    <xdr:to>
      <xdr:col>9</xdr:col>
      <xdr:colOff>685800</xdr:colOff>
      <xdr:row>90</xdr:row>
      <xdr:rowOff>38100</xdr:rowOff>
    </xdr:to>
    <xdr:sp macro="" textlink="">
      <xdr:nvSpPr>
        <xdr:cNvPr id="5" name="TextBox 4">
          <a:extLst>
            <a:ext uri="{FF2B5EF4-FFF2-40B4-BE49-F238E27FC236}">
              <a16:creationId xmlns:a16="http://schemas.microsoft.com/office/drawing/2014/main" id="{370B86AD-FED5-EB47-950C-F6FC5EF81EFD}"/>
            </a:ext>
          </a:extLst>
        </xdr:cNvPr>
        <xdr:cNvSpPr txBox="1"/>
      </xdr:nvSpPr>
      <xdr:spPr>
        <a:xfrm>
          <a:off x="50800" y="774700"/>
          <a:ext cx="6921500" cy="4432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Risk</a:t>
          </a:r>
          <a:r>
            <a:rPr lang="en-US" sz="1100" baseline="0"/>
            <a:t> factors updates</a:t>
          </a:r>
        </a:p>
        <a:p>
          <a:r>
            <a:rPr lang="en-US" sz="1100" baseline="0"/>
            <a:t>- </a:t>
          </a:r>
          <a:r>
            <a:rPr lang="en-US" sz="1100" i="1" baseline="0"/>
            <a:t>Road AADT</a:t>
          </a:r>
        </a:p>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ysClr val="windowText" lastClr="000000"/>
              </a:solidFill>
            </a:rPr>
            <a:t>- </a:t>
          </a:r>
          <a:r>
            <a:rPr lang="en-US" sz="1100" b="0" i="1">
              <a:solidFill>
                <a:sysClr val="windowText" lastClr="000000"/>
              </a:solidFill>
            </a:rPr>
            <a:t>Grade</a:t>
          </a:r>
          <a:r>
            <a:rPr lang="en-US" sz="1100" b="0">
              <a:solidFill>
                <a:sysClr val="windowText" lastClr="000000"/>
              </a:solidFill>
            </a:rPr>
            <a:t>: </a:t>
          </a:r>
          <a:r>
            <a:rPr lang="en-US" sz="1100" b="0" baseline="0">
              <a:solidFill>
                <a:sysClr val="windowText" lastClr="000000"/>
              </a:solidFill>
            </a:rPr>
            <a:t>Switched back to 1.2</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baseline="0">
            <a:solidFill>
              <a:sysClr val="windowText" lastClr="00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ysClr val="windowText" lastClr="000000"/>
              </a:solidFill>
            </a:rPr>
            <a:t>Banding updates</a:t>
          </a:r>
        </a:p>
        <a:p>
          <a:pPr marL="0" marR="0" lvl="0" indent="0" defTabSz="914400" eaLnBrk="1" fontAlgn="auto" latinLnBrk="0" hangingPunct="1">
            <a:lnSpc>
              <a:spcPct val="100000"/>
            </a:lnSpc>
            <a:spcBef>
              <a:spcPts val="0"/>
            </a:spcBef>
            <a:spcAft>
              <a:spcPts val="0"/>
            </a:spcAft>
            <a:buClrTx/>
            <a:buSzTx/>
            <a:buFontTx/>
            <a:buNone/>
            <a:tabLst/>
            <a:defRPr/>
          </a:pPr>
          <a:r>
            <a:rPr lang="en-US" b="0" baseline="0">
              <a:solidFill>
                <a:sysClr val="windowText" lastClr="000000"/>
              </a:solidFill>
            </a:rPr>
            <a:t>- VB crash: Low risk &lt; 10; 10 &lt; Middle risk &lt; 25; 25 &lt; High risk &lt; 60, 60 &lt; Extreme risk </a:t>
          </a:r>
        </a:p>
        <a:p>
          <a:pPr marL="0" marR="0" lvl="0" indent="0" defTabSz="914400" eaLnBrk="1" fontAlgn="auto" latinLnBrk="0" hangingPunct="1">
            <a:lnSpc>
              <a:spcPct val="100000"/>
            </a:lnSpc>
            <a:spcBef>
              <a:spcPts val="0"/>
            </a:spcBef>
            <a:spcAft>
              <a:spcPts val="0"/>
            </a:spcAft>
            <a:buClrTx/>
            <a:buSzTx/>
            <a:buFontTx/>
            <a:buNone/>
            <a:tabLst/>
            <a:defRPr/>
          </a:pPr>
          <a:r>
            <a:rPr lang="en-US" b="0" baseline="0">
              <a:solidFill>
                <a:sysClr val="windowText" lastClr="000000"/>
              </a:solidFill>
            </a:rPr>
            <a:t>- SB, BB and BP crashes: Low risk &lt; 5; 5 &lt; Middle risk &lt; 10; 10 &lt; High risk &lt; 20, 20 &lt; Extreme risk </a:t>
          </a:r>
          <a:endParaRPr lang="en-US" sz="1100" b="0" baseline="0">
            <a:solidFill>
              <a:sysClr val="windowText" lastClr="000000"/>
            </a:solidFill>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i="1"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Changes in the Contributing factors (likelihood)</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Lighting is the new CF for Avoidance manoeuvre and Vehicle Impact</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Grade removed of CF for Vehicle Impact.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Tram and train rails included as a CF for </a:t>
          </a:r>
          <a:r>
            <a:rPr lang="en-US" sz="1100" b="0" i="0" u="none" strike="noStrike">
              <a:solidFill>
                <a:schemeClr val="dk1"/>
              </a:solidFill>
              <a:effectLst/>
              <a:latin typeface="+mn-lt"/>
              <a:ea typeface="+mn-ea"/>
              <a:cs typeface="+mn-cs"/>
            </a:rPr>
            <a:t>Loss of control – function</a:t>
          </a:r>
          <a:r>
            <a:rPr lang="en-US"/>
            <a:t> </a:t>
          </a: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Changes in the Severity determinants</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Lighting removed of the VB Severity Determinants</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Road AADT removed for the Vehicle Impact Severity Determinant</a:t>
          </a:r>
        </a:p>
        <a:p>
          <a:r>
            <a:rPr lang="en-GB" sz="1100" b="0">
              <a:solidFill>
                <a:sysClr val="windowText" lastClr="000000"/>
              </a:solidFill>
            </a:rPr>
            <a:t>- Removed property access</a:t>
          </a:r>
          <a:r>
            <a:rPr lang="en-GB" sz="1100" b="0" baseline="0">
              <a:solidFill>
                <a:sysClr val="windowText" lastClr="000000"/>
              </a:solidFill>
            </a:rPr>
            <a:t> and tram rails from VB Departure Conditional</a:t>
          </a:r>
        </a:p>
        <a:p>
          <a:r>
            <a:rPr lang="en-GB" sz="1100" b="0" baseline="0">
              <a:solidFill>
                <a:sysClr val="windowText" lastClr="000000"/>
              </a:solidFill>
            </a:rPr>
            <a:t>- Removed tram rails from VB Fall on facility conditional (so it doesn't produce a V-B score subject to flow &amp; speed without having another road attribute turned on)</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r>
            <a:rPr lang="en-GB" sz="1100" b="0" baseline="0">
              <a:solidFill>
                <a:sysClr val="windowText" lastClr="000000"/>
              </a:solidFill>
            </a:rPr>
            <a:t>Model structure</a:t>
          </a:r>
        </a:p>
        <a:p>
          <a:r>
            <a:rPr lang="en-GB" sz="1100" b="0">
              <a:solidFill>
                <a:sysClr val="windowText" lastClr="000000"/>
              </a:solidFill>
            </a:rPr>
            <a:t>- Separated out LOC - Function</a:t>
          </a:r>
          <a:r>
            <a:rPr lang="en-GB" sz="1100" b="0" baseline="0">
              <a:solidFill>
                <a:sysClr val="windowText" lastClr="000000"/>
              </a:solidFill>
            </a:rPr>
            <a:t> score so that it only contributes to fall on facility (not departure or conflict with other users)</a:t>
          </a: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Bands included in the results tab</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endParaRPr lang="en-US" sz="1100" i="1" baseline="0"/>
        </a:p>
        <a:p>
          <a:pPr marL="0" marR="0" lvl="0" indent="0" defTabSz="914400" eaLnBrk="1" fontAlgn="auto" latinLnBrk="0" hangingPunct="1">
            <a:lnSpc>
              <a:spcPct val="100000"/>
            </a:lnSpc>
            <a:spcBef>
              <a:spcPts val="0"/>
            </a:spcBef>
            <a:spcAft>
              <a:spcPts val="0"/>
            </a:spcAft>
            <a:buClrTx/>
            <a:buSzTx/>
            <a:buFontTx/>
            <a:buNone/>
            <a:tabLst/>
            <a:defRPr/>
          </a:pPr>
          <a:endParaRPr lang="en-US" baseline="0"/>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p>
      </xdr:txBody>
    </xdr:sp>
    <xdr:clientData/>
  </xdr:twoCellAnchor>
  <xdr:oneCellAnchor>
    <xdr:from>
      <xdr:col>0</xdr:col>
      <xdr:colOff>0</xdr:colOff>
      <xdr:row>45</xdr:row>
      <xdr:rowOff>0</xdr:rowOff>
    </xdr:from>
    <xdr:ext cx="8052654" cy="564193"/>
    <xdr:sp macro="" textlink="">
      <xdr:nvSpPr>
        <xdr:cNvPr id="6" name="TextBox 5">
          <a:extLst>
            <a:ext uri="{FF2B5EF4-FFF2-40B4-BE49-F238E27FC236}">
              <a16:creationId xmlns:a16="http://schemas.microsoft.com/office/drawing/2014/main" id="{18F1AA3E-0729-9E48-AB04-8E72721CF3D4}"/>
            </a:ext>
          </a:extLst>
        </xdr:cNvPr>
        <xdr:cNvSpPr txBox="1"/>
      </xdr:nvSpPr>
      <xdr:spPr>
        <a:xfrm>
          <a:off x="0" y="127000"/>
          <a:ext cx="8052654" cy="5641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rial" panose="020B0604020202020204" pitchFamily="34" charset="0"/>
              <a:cs typeface="Arial" panose="020B0604020202020204" pitchFamily="34" charset="0"/>
            </a:rPr>
            <a:t>Cycle</a:t>
          </a:r>
          <a:r>
            <a:rPr lang="en-GB" sz="3200" b="1" baseline="0">
              <a:latin typeface="Arial" panose="020B0604020202020204" pitchFamily="34" charset="0"/>
              <a:cs typeface="Arial" panose="020B0604020202020204" pitchFamily="34" charset="0"/>
            </a:rPr>
            <a:t>RAP Model updates 17.04.23 - V2.7</a:t>
          </a:r>
          <a:endParaRPr lang="en-GB" sz="1600" b="0">
            <a:latin typeface="Arial" panose="020B0604020202020204" pitchFamily="34" charset="0"/>
            <a:cs typeface="Arial" panose="020B0604020202020204" pitchFamily="34" charset="0"/>
          </a:endParaRPr>
        </a:p>
      </xdr:txBody>
    </xdr:sp>
    <xdr:clientData/>
  </xdr:oneCellAnchor>
  <xdr:twoCellAnchor>
    <xdr:from>
      <xdr:col>0</xdr:col>
      <xdr:colOff>50800</xdr:colOff>
      <xdr:row>49</xdr:row>
      <xdr:rowOff>12700</xdr:rowOff>
    </xdr:from>
    <xdr:to>
      <xdr:col>9</xdr:col>
      <xdr:colOff>685800</xdr:colOff>
      <xdr:row>56</xdr:row>
      <xdr:rowOff>101600</xdr:rowOff>
    </xdr:to>
    <xdr:sp macro="" textlink="">
      <xdr:nvSpPr>
        <xdr:cNvPr id="7" name="TextBox 6">
          <a:extLst>
            <a:ext uri="{FF2B5EF4-FFF2-40B4-BE49-F238E27FC236}">
              <a16:creationId xmlns:a16="http://schemas.microsoft.com/office/drawing/2014/main" id="{16321B6D-5C84-BF4D-AE57-7659C548A9AD}"/>
            </a:ext>
          </a:extLst>
        </xdr:cNvPr>
        <xdr:cNvSpPr txBox="1"/>
      </xdr:nvSpPr>
      <xdr:spPr>
        <a:xfrm>
          <a:off x="50800" y="774700"/>
          <a:ext cx="692150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Risk</a:t>
          </a:r>
          <a:r>
            <a:rPr lang="en-US" sz="1100" baseline="0"/>
            <a:t> factors updates</a:t>
          </a:r>
        </a:p>
        <a:p>
          <a:r>
            <a:rPr lang="en-US" sz="1100" baseline="0"/>
            <a:t>- </a:t>
          </a:r>
          <a:r>
            <a:rPr lang="en-US" sz="1100" i="1" baseline="0"/>
            <a:t>Include risk factors for </a:t>
          </a:r>
          <a:r>
            <a:rPr lang="en-US" sz="1100" b="0" i="0" u="none" strike="noStrike">
              <a:solidFill>
                <a:schemeClr val="dk1"/>
              </a:solidFill>
              <a:effectLst/>
              <a:latin typeface="+mn-lt"/>
              <a:ea typeface="+mn-ea"/>
              <a:cs typeface="+mn-cs"/>
            </a:rPr>
            <a:t>Adjacent road lane 1-3m</a:t>
          </a:r>
          <a:r>
            <a:rPr lang="en-US"/>
            <a:t> </a:t>
          </a:r>
        </a:p>
        <a:p>
          <a:r>
            <a:rPr lang="en-US" sz="1100" b="0" baseline="0">
              <a:solidFill>
                <a:sysClr val="windowText" lastClr="000000"/>
              </a:solidFill>
            </a:rPr>
            <a:t>- Include risk factors for off-road facility types.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Changes in the Severity determinants</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0" i="0" u="none" strike="noStrike">
              <a:solidFill>
                <a:schemeClr val="dk1"/>
              </a:solidFill>
              <a:effectLst/>
              <a:latin typeface="+mn-lt"/>
              <a:ea typeface="+mn-ea"/>
              <a:cs typeface="+mn-cs"/>
            </a:rPr>
            <a:t>Adjacent road lane 1-3m</a:t>
          </a:r>
          <a:r>
            <a:rPr lang="en-US"/>
            <a:t>  and </a:t>
          </a:r>
          <a:r>
            <a:rPr lang="en-US" sz="1100" b="0" i="0" u="none" strike="noStrike">
              <a:solidFill>
                <a:schemeClr val="dk1"/>
              </a:solidFill>
              <a:effectLst/>
              <a:latin typeface="+mn-lt"/>
              <a:ea typeface="+mn-ea"/>
              <a:cs typeface="+mn-cs"/>
            </a:rPr>
            <a:t>Facility type</a:t>
          </a:r>
          <a:r>
            <a:rPr lang="en-US"/>
            <a:t> </a:t>
          </a:r>
          <a:r>
            <a:rPr lang="en-GB" sz="1100" b="0" baseline="0">
              <a:solidFill>
                <a:sysClr val="windowText" lastClr="000000"/>
              </a:solidFill>
            </a:rPr>
            <a:t>added as severity determinants for VB crash type</a:t>
          </a:r>
        </a:p>
      </xdr:txBody>
    </xdr:sp>
    <xdr:clientData/>
  </xdr:twoCellAnchor>
  <xdr:oneCellAnchor>
    <xdr:from>
      <xdr:col>0</xdr:col>
      <xdr:colOff>0</xdr:colOff>
      <xdr:row>37</xdr:row>
      <xdr:rowOff>101600</xdr:rowOff>
    </xdr:from>
    <xdr:ext cx="8280857" cy="564193"/>
    <xdr:sp macro="" textlink="">
      <xdr:nvSpPr>
        <xdr:cNvPr id="8" name="TextBox 7">
          <a:extLst>
            <a:ext uri="{FF2B5EF4-FFF2-40B4-BE49-F238E27FC236}">
              <a16:creationId xmlns:a16="http://schemas.microsoft.com/office/drawing/2014/main" id="{03647926-9B7C-914D-A217-25D8EE99D14D}"/>
            </a:ext>
          </a:extLst>
        </xdr:cNvPr>
        <xdr:cNvSpPr txBox="1"/>
      </xdr:nvSpPr>
      <xdr:spPr>
        <a:xfrm>
          <a:off x="0" y="1473200"/>
          <a:ext cx="8280857" cy="5641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rial" panose="020B0604020202020204" pitchFamily="34" charset="0"/>
              <a:cs typeface="Arial" panose="020B0604020202020204" pitchFamily="34" charset="0"/>
            </a:rPr>
            <a:t>Cycle</a:t>
          </a:r>
          <a:r>
            <a:rPr lang="en-GB" sz="3200" b="1" baseline="0">
              <a:latin typeface="Arial" panose="020B0604020202020204" pitchFamily="34" charset="0"/>
              <a:cs typeface="Arial" panose="020B0604020202020204" pitchFamily="34" charset="0"/>
            </a:rPr>
            <a:t>RAP Model updates 12.07.23 - V2.8</a:t>
          </a:r>
          <a:endParaRPr lang="en-GB" sz="1600" b="0">
            <a:latin typeface="Arial" panose="020B0604020202020204" pitchFamily="34" charset="0"/>
            <a:cs typeface="Arial" panose="020B0604020202020204" pitchFamily="34" charset="0"/>
          </a:endParaRPr>
        </a:p>
      </xdr:txBody>
    </xdr:sp>
    <xdr:clientData/>
  </xdr:oneCellAnchor>
  <xdr:twoCellAnchor>
    <xdr:from>
      <xdr:col>0</xdr:col>
      <xdr:colOff>50800</xdr:colOff>
      <xdr:row>41</xdr:row>
      <xdr:rowOff>38100</xdr:rowOff>
    </xdr:from>
    <xdr:to>
      <xdr:col>9</xdr:col>
      <xdr:colOff>685800</xdr:colOff>
      <xdr:row>44</xdr:row>
      <xdr:rowOff>139700</xdr:rowOff>
    </xdr:to>
    <xdr:sp macro="" textlink="">
      <xdr:nvSpPr>
        <xdr:cNvPr id="9" name="TextBox 8">
          <a:extLst>
            <a:ext uri="{FF2B5EF4-FFF2-40B4-BE49-F238E27FC236}">
              <a16:creationId xmlns:a16="http://schemas.microsoft.com/office/drawing/2014/main" id="{A0D11F33-1CFF-2340-9E5C-DB33F5A7C594}"/>
            </a:ext>
          </a:extLst>
        </xdr:cNvPr>
        <xdr:cNvSpPr txBox="1"/>
      </xdr:nvSpPr>
      <xdr:spPr>
        <a:xfrm>
          <a:off x="50800" y="647700"/>
          <a:ext cx="6921500" cy="558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Smooth rule</a:t>
          </a:r>
          <a:endParaRPr lang="en-US" sz="1100" baseline="0"/>
        </a:p>
        <a:p>
          <a:r>
            <a:rPr lang="en-US" sz="1100" i="0" baseline="0"/>
            <a:t>- Facility type was added as a parameter to estabilhi beginning and ending of the smooth sections. </a:t>
          </a:r>
          <a:endParaRPr lang="en-US" sz="1100" b="0" i="0" baseline="0">
            <a:solidFill>
              <a:sysClr val="windowText" lastClr="000000"/>
            </a:solidFill>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xdr:txBody>
    </xdr:sp>
    <xdr:clientData/>
  </xdr:twoCellAnchor>
  <xdr:oneCellAnchor>
    <xdr:from>
      <xdr:col>0</xdr:col>
      <xdr:colOff>0</xdr:colOff>
      <xdr:row>29</xdr:row>
      <xdr:rowOff>0</xdr:rowOff>
    </xdr:from>
    <xdr:ext cx="8052654" cy="564193"/>
    <xdr:sp macro="" textlink="">
      <xdr:nvSpPr>
        <xdr:cNvPr id="10" name="TextBox 9">
          <a:extLst>
            <a:ext uri="{FF2B5EF4-FFF2-40B4-BE49-F238E27FC236}">
              <a16:creationId xmlns:a16="http://schemas.microsoft.com/office/drawing/2014/main" id="{13DD94EF-DA6A-E547-8F1B-D97EF3C3C19F}"/>
            </a:ext>
          </a:extLst>
        </xdr:cNvPr>
        <xdr:cNvSpPr txBox="1"/>
      </xdr:nvSpPr>
      <xdr:spPr>
        <a:xfrm>
          <a:off x="0" y="152400"/>
          <a:ext cx="8052654" cy="5641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rial" panose="020B0604020202020204" pitchFamily="34" charset="0"/>
              <a:cs typeface="Arial" panose="020B0604020202020204" pitchFamily="34" charset="0"/>
            </a:rPr>
            <a:t>Cycle</a:t>
          </a:r>
          <a:r>
            <a:rPr lang="en-GB" sz="3200" b="1" baseline="0">
              <a:latin typeface="Arial" panose="020B0604020202020204" pitchFamily="34" charset="0"/>
              <a:cs typeface="Arial" panose="020B0604020202020204" pitchFamily="34" charset="0"/>
            </a:rPr>
            <a:t>RAP Model updates 12.07.23 - V2.9</a:t>
          </a:r>
          <a:endParaRPr lang="en-GB" sz="1600" b="0">
            <a:latin typeface="Arial" panose="020B0604020202020204" pitchFamily="34" charset="0"/>
            <a:cs typeface="Arial" panose="020B0604020202020204" pitchFamily="34" charset="0"/>
          </a:endParaRPr>
        </a:p>
      </xdr:txBody>
    </xdr:sp>
    <xdr:clientData/>
  </xdr:oneCellAnchor>
  <xdr:twoCellAnchor>
    <xdr:from>
      <xdr:col>0</xdr:col>
      <xdr:colOff>50800</xdr:colOff>
      <xdr:row>33</xdr:row>
      <xdr:rowOff>38100</xdr:rowOff>
    </xdr:from>
    <xdr:to>
      <xdr:col>9</xdr:col>
      <xdr:colOff>685800</xdr:colOff>
      <xdr:row>36</xdr:row>
      <xdr:rowOff>139700</xdr:rowOff>
    </xdr:to>
    <xdr:sp macro="" textlink="">
      <xdr:nvSpPr>
        <xdr:cNvPr id="11" name="TextBox 10">
          <a:extLst>
            <a:ext uri="{FF2B5EF4-FFF2-40B4-BE49-F238E27FC236}">
              <a16:creationId xmlns:a16="http://schemas.microsoft.com/office/drawing/2014/main" id="{D6AB250B-41D7-084B-B9A1-8BB266275CA5}"/>
            </a:ext>
          </a:extLst>
        </xdr:cNvPr>
        <xdr:cNvSpPr txBox="1"/>
      </xdr:nvSpPr>
      <xdr:spPr>
        <a:xfrm>
          <a:off x="50800" y="1866900"/>
          <a:ext cx="6921500" cy="558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Contributing factor</a:t>
          </a:r>
        </a:p>
        <a:p>
          <a:r>
            <a:rPr lang="en-US" sz="1100" baseline="0"/>
            <a:t>- </a:t>
          </a:r>
          <a:r>
            <a:rPr lang="en-US" sz="1100" i="1" baseline="0"/>
            <a:t>Light segregation added as a contributing factor for vehicle impact. </a:t>
          </a:r>
          <a:endParaRPr lang="en-US" sz="1100" b="0" baseline="0">
            <a:solidFill>
              <a:sysClr val="windowText" lastClr="000000"/>
            </a:solidFill>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xdr:txBody>
    </xdr:sp>
    <xdr:clientData/>
  </xdr:twoCellAnchor>
  <xdr:oneCellAnchor>
    <xdr:from>
      <xdr:col>0</xdr:col>
      <xdr:colOff>0</xdr:colOff>
      <xdr:row>20</xdr:row>
      <xdr:rowOff>101600</xdr:rowOff>
    </xdr:from>
    <xdr:ext cx="9854044" cy="564193"/>
    <xdr:sp macro="" textlink="">
      <xdr:nvSpPr>
        <xdr:cNvPr id="12" name="TextBox 11">
          <a:extLst>
            <a:ext uri="{FF2B5EF4-FFF2-40B4-BE49-F238E27FC236}">
              <a16:creationId xmlns:a16="http://schemas.microsoft.com/office/drawing/2014/main" id="{150E54C4-0AC6-1E4C-ABDE-D9E6E78CA8F9}"/>
            </a:ext>
          </a:extLst>
        </xdr:cNvPr>
        <xdr:cNvSpPr txBox="1"/>
      </xdr:nvSpPr>
      <xdr:spPr>
        <a:xfrm>
          <a:off x="0" y="406400"/>
          <a:ext cx="9854044" cy="5641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rial" panose="020B0604020202020204" pitchFamily="34" charset="0"/>
              <a:cs typeface="Arial" panose="020B0604020202020204" pitchFamily="34" charset="0"/>
            </a:rPr>
            <a:t>Cycle</a:t>
          </a:r>
          <a:r>
            <a:rPr lang="en-GB" sz="3200" b="1" baseline="0">
              <a:latin typeface="Arial" panose="020B0604020202020204" pitchFamily="34" charset="0"/>
              <a:cs typeface="Arial" panose="020B0604020202020204" pitchFamily="34" charset="0"/>
            </a:rPr>
            <a:t>RAP Model testbed updates 22.01.24 - V2.10</a:t>
          </a:r>
          <a:endParaRPr lang="en-GB" sz="1600" b="0">
            <a:latin typeface="Arial" panose="020B0604020202020204" pitchFamily="34" charset="0"/>
            <a:cs typeface="Arial" panose="020B0604020202020204" pitchFamily="34" charset="0"/>
          </a:endParaRPr>
        </a:p>
      </xdr:txBody>
    </xdr:sp>
    <xdr:clientData/>
  </xdr:oneCellAnchor>
  <xdr:twoCellAnchor>
    <xdr:from>
      <xdr:col>0</xdr:col>
      <xdr:colOff>50800</xdr:colOff>
      <xdr:row>24</xdr:row>
      <xdr:rowOff>139700</xdr:rowOff>
    </xdr:from>
    <xdr:to>
      <xdr:col>9</xdr:col>
      <xdr:colOff>685800</xdr:colOff>
      <xdr:row>28</xdr:row>
      <xdr:rowOff>88900</xdr:rowOff>
    </xdr:to>
    <xdr:sp macro="" textlink="">
      <xdr:nvSpPr>
        <xdr:cNvPr id="13" name="TextBox 12">
          <a:extLst>
            <a:ext uri="{FF2B5EF4-FFF2-40B4-BE49-F238E27FC236}">
              <a16:creationId xmlns:a16="http://schemas.microsoft.com/office/drawing/2014/main" id="{2D2C2606-6050-E240-9896-48C0F09546E5}"/>
            </a:ext>
          </a:extLst>
        </xdr:cNvPr>
        <xdr:cNvSpPr txBox="1"/>
      </xdr:nvSpPr>
      <xdr:spPr>
        <a:xfrm>
          <a:off x="50800" y="1054100"/>
          <a:ext cx="6921500" cy="558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solidFill>
                <a:schemeClr val="dk1"/>
              </a:solidFill>
            </a:rPr>
            <a:t>STM</a:t>
          </a:r>
        </a:p>
        <a:p>
          <a:r>
            <a:rPr lang="en-US" sz="1100" b="0" baseline="0">
              <a:solidFill>
                <a:schemeClr val="dk1"/>
              </a:solidFill>
            </a:rPr>
            <a:t>- Correction of the STM trigger for install safety barrier. </a:t>
          </a:r>
          <a:endParaRPr lang="en-US" sz="1100" b="0" baseline="0">
            <a:solidFill>
              <a:sysClr val="windowText" lastClr="000000"/>
            </a:solidFill>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xdr:txBody>
    </xdr:sp>
    <xdr:clientData/>
  </xdr:twoCellAnchor>
  <xdr:oneCellAnchor>
    <xdr:from>
      <xdr:col>0</xdr:col>
      <xdr:colOff>0</xdr:colOff>
      <xdr:row>8</xdr:row>
      <xdr:rowOff>0</xdr:rowOff>
    </xdr:from>
    <xdr:ext cx="8394862" cy="564193"/>
    <xdr:sp macro="" textlink="">
      <xdr:nvSpPr>
        <xdr:cNvPr id="14" name="TextBox 13">
          <a:extLst>
            <a:ext uri="{FF2B5EF4-FFF2-40B4-BE49-F238E27FC236}">
              <a16:creationId xmlns:a16="http://schemas.microsoft.com/office/drawing/2014/main" id="{8E602CB9-7043-E746-A533-C7308174DF43}"/>
            </a:ext>
          </a:extLst>
        </xdr:cNvPr>
        <xdr:cNvSpPr txBox="1"/>
      </xdr:nvSpPr>
      <xdr:spPr>
        <a:xfrm>
          <a:off x="0" y="152400"/>
          <a:ext cx="8394862" cy="5641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rial" panose="020B0604020202020204" pitchFamily="34" charset="0"/>
              <a:cs typeface="Arial" panose="020B0604020202020204" pitchFamily="34" charset="0"/>
            </a:rPr>
            <a:t>Cycle</a:t>
          </a:r>
          <a:r>
            <a:rPr lang="en-GB" sz="3200" b="1" baseline="0">
              <a:latin typeface="Arial" panose="020B0604020202020204" pitchFamily="34" charset="0"/>
              <a:cs typeface="Arial" panose="020B0604020202020204" pitchFamily="34" charset="0"/>
            </a:rPr>
            <a:t>RAP Model updates 28.06.24 - V2.11</a:t>
          </a:r>
          <a:endParaRPr lang="en-GB" sz="1600" b="0">
            <a:latin typeface="Arial" panose="020B0604020202020204" pitchFamily="34" charset="0"/>
            <a:cs typeface="Arial" panose="020B0604020202020204" pitchFamily="34" charset="0"/>
          </a:endParaRPr>
        </a:p>
      </xdr:txBody>
    </xdr:sp>
    <xdr:clientData/>
  </xdr:oneCellAnchor>
  <xdr:twoCellAnchor>
    <xdr:from>
      <xdr:col>0</xdr:col>
      <xdr:colOff>50800</xdr:colOff>
      <xdr:row>12</xdr:row>
      <xdr:rowOff>38100</xdr:rowOff>
    </xdr:from>
    <xdr:to>
      <xdr:col>9</xdr:col>
      <xdr:colOff>685800</xdr:colOff>
      <xdr:row>20</xdr:row>
      <xdr:rowOff>50800</xdr:rowOff>
    </xdr:to>
    <xdr:sp macro="" textlink="">
      <xdr:nvSpPr>
        <xdr:cNvPr id="15" name="TextBox 14">
          <a:extLst>
            <a:ext uri="{FF2B5EF4-FFF2-40B4-BE49-F238E27FC236}">
              <a16:creationId xmlns:a16="http://schemas.microsoft.com/office/drawing/2014/main" id="{DD9F3787-2E8C-7548-96B1-3FD2BC76F793}"/>
            </a:ext>
          </a:extLst>
        </xdr:cNvPr>
        <xdr:cNvSpPr txBox="1"/>
      </xdr:nvSpPr>
      <xdr:spPr>
        <a:xfrm>
          <a:off x="50800" y="800100"/>
          <a:ext cx="6921500" cy="774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solidFill>
                <a:schemeClr val="dk1"/>
              </a:solidFill>
            </a:rPr>
            <a:t>Risk factor updates</a:t>
          </a:r>
        </a:p>
        <a:p>
          <a:r>
            <a:rPr lang="en-US" sz="1100" b="0" baseline="0">
              <a:solidFill>
                <a:schemeClr val="dk1"/>
              </a:solidFill>
            </a:rPr>
            <a:t>- New speed risk factors</a:t>
          </a:r>
        </a:p>
        <a:p>
          <a:r>
            <a:rPr lang="en-US" sz="1100" b="0" baseline="0">
              <a:solidFill>
                <a:sysClr val="windowText" lastClr="000000"/>
              </a:solidFill>
            </a:rPr>
            <a:t>Attribute updates</a:t>
          </a:r>
        </a:p>
        <a:p>
          <a:r>
            <a:rPr lang="en-US" sz="1100" b="0" baseline="0">
              <a:solidFill>
                <a:sysClr val="windowText" lastClr="000000"/>
              </a:solidFill>
            </a:rPr>
            <a:t>- New categories for facility width</a:t>
          </a:r>
        </a:p>
        <a:p>
          <a:r>
            <a:rPr lang="en-US" sz="1100" b="0" baseline="0">
              <a:solidFill>
                <a:sysClr val="windowText" lastClr="000000"/>
              </a:solidFill>
            </a:rPr>
            <a:t>Contibuting factors</a:t>
          </a:r>
        </a:p>
        <a:p>
          <a:r>
            <a:rPr lang="en-US" sz="1100" b="0" baseline="0">
              <a:solidFill>
                <a:sysClr val="windowText" lastClr="000000"/>
              </a:solidFill>
            </a:rPr>
            <a:t>- Addition to </a:t>
          </a:r>
          <a:r>
            <a:rPr lang="en-US" sz="1100" b="0" i="1" baseline="0">
              <a:solidFill>
                <a:sysClr val="windowText" lastClr="000000"/>
              </a:solidFill>
            </a:rPr>
            <a:t>Facility type </a:t>
          </a:r>
          <a:r>
            <a:rPr lang="en-US" sz="1100" b="0" i="0" baseline="0">
              <a:solidFill>
                <a:sysClr val="windowText" lastClr="000000"/>
              </a:solidFill>
            </a:rPr>
            <a:t>as </a:t>
          </a:r>
          <a:r>
            <a:rPr lang="en-US" sz="1100" b="0" i="1" baseline="0">
              <a:solidFill>
                <a:sysClr val="windowText" lastClr="000000"/>
              </a:solidFill>
            </a:rPr>
            <a:t>Vehicle Impact </a:t>
          </a:r>
          <a:r>
            <a:rPr lang="en-US" sz="1100" b="0" i="0" baseline="0">
              <a:solidFill>
                <a:sysClr val="windowText" lastClr="000000"/>
              </a:solidFill>
            </a:rPr>
            <a:t>Contributing factor</a:t>
          </a:r>
        </a:p>
        <a:p>
          <a:endParaRPr lang="en-US" sz="1100" b="0" baseline="0">
            <a:solidFill>
              <a:sysClr val="windowText" lastClr="000000"/>
            </a:solidFill>
          </a:endParaRPr>
        </a:p>
        <a:p>
          <a:endParaRPr lang="en-US" sz="1100" b="0" baseline="0">
            <a:solidFill>
              <a:sysClr val="windowText" lastClr="000000"/>
            </a:solidFill>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xdr:txBody>
    </xdr:sp>
    <xdr:clientData/>
  </xdr:twoCellAnchor>
  <xdr:oneCellAnchor>
    <xdr:from>
      <xdr:col>0</xdr:col>
      <xdr:colOff>0</xdr:colOff>
      <xdr:row>1</xdr:row>
      <xdr:rowOff>0</xdr:rowOff>
    </xdr:from>
    <xdr:ext cx="8280857" cy="564193"/>
    <xdr:sp macro="" textlink="">
      <xdr:nvSpPr>
        <xdr:cNvPr id="16" name="TextBox 15">
          <a:extLst>
            <a:ext uri="{FF2B5EF4-FFF2-40B4-BE49-F238E27FC236}">
              <a16:creationId xmlns:a16="http://schemas.microsoft.com/office/drawing/2014/main" id="{161E1D14-C3A6-1647-B55C-7A5FB2219FB4}"/>
            </a:ext>
          </a:extLst>
        </xdr:cNvPr>
        <xdr:cNvSpPr txBox="1"/>
      </xdr:nvSpPr>
      <xdr:spPr>
        <a:xfrm>
          <a:off x="0" y="152400"/>
          <a:ext cx="8280857" cy="5641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rial" panose="020B0604020202020204" pitchFamily="34" charset="0"/>
              <a:cs typeface="Arial" panose="020B0604020202020204" pitchFamily="34" charset="0"/>
            </a:rPr>
            <a:t>Cycle</a:t>
          </a:r>
          <a:r>
            <a:rPr lang="en-GB" sz="3200" b="1" baseline="0">
              <a:latin typeface="Arial" panose="020B0604020202020204" pitchFamily="34" charset="0"/>
              <a:cs typeface="Arial" panose="020B0604020202020204" pitchFamily="34" charset="0"/>
            </a:rPr>
            <a:t>RAP Model updates 27.09.24 - V2.11</a:t>
          </a:r>
          <a:endParaRPr lang="en-GB" sz="1600" b="0">
            <a:latin typeface="Arial" panose="020B0604020202020204" pitchFamily="34" charset="0"/>
            <a:cs typeface="Arial" panose="020B0604020202020204" pitchFamily="34" charset="0"/>
          </a:endParaRPr>
        </a:p>
      </xdr:txBody>
    </xdr:sp>
    <xdr:clientData/>
  </xdr:oneCellAnchor>
  <xdr:twoCellAnchor>
    <xdr:from>
      <xdr:col>0</xdr:col>
      <xdr:colOff>50800</xdr:colOff>
      <xdr:row>5</xdr:row>
      <xdr:rowOff>38100</xdr:rowOff>
    </xdr:from>
    <xdr:to>
      <xdr:col>9</xdr:col>
      <xdr:colOff>685800</xdr:colOff>
      <xdr:row>7</xdr:row>
      <xdr:rowOff>38100</xdr:rowOff>
    </xdr:to>
    <xdr:sp macro="" textlink="">
      <xdr:nvSpPr>
        <xdr:cNvPr id="17" name="TextBox 16">
          <a:extLst>
            <a:ext uri="{FF2B5EF4-FFF2-40B4-BE49-F238E27FC236}">
              <a16:creationId xmlns:a16="http://schemas.microsoft.com/office/drawing/2014/main" id="{79B79EC2-2BBB-444A-83AE-CD480BC6C659}"/>
            </a:ext>
          </a:extLst>
        </xdr:cNvPr>
        <xdr:cNvSpPr txBox="1"/>
      </xdr:nvSpPr>
      <xdr:spPr>
        <a:xfrm>
          <a:off x="50800" y="800100"/>
          <a:ext cx="6921500" cy="30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solidFill>
                <a:schemeClr val="dk1"/>
              </a:solidFill>
            </a:rPr>
            <a:t>Optimization of STM calculations</a:t>
          </a:r>
          <a:endParaRPr lang="en-US" sz="1100" b="0" i="0" baseline="0">
            <a:solidFill>
              <a:sysClr val="windowText" lastClr="000000"/>
            </a:solidFill>
          </a:endParaRPr>
        </a:p>
        <a:p>
          <a:endParaRPr lang="en-US" sz="1100" b="0" baseline="0">
            <a:solidFill>
              <a:sysClr val="windowText" lastClr="000000"/>
            </a:solidFill>
          </a:endParaRPr>
        </a:p>
        <a:p>
          <a:endParaRPr lang="en-US" sz="1100" b="0" baseline="0">
            <a:solidFill>
              <a:sysClr val="windowText" lastClr="000000"/>
            </a:solidFill>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482600</xdr:colOff>
      <xdr:row>12</xdr:row>
      <xdr:rowOff>25400</xdr:rowOff>
    </xdr:from>
    <xdr:to>
      <xdr:col>21</xdr:col>
      <xdr:colOff>355600</xdr:colOff>
      <xdr:row>30</xdr:row>
      <xdr:rowOff>19050</xdr:rowOff>
    </xdr:to>
    <xdr:graphicFrame macro="">
      <xdr:nvGraphicFramePr>
        <xdr:cNvPr id="2" name="Chart 1">
          <a:extLst>
            <a:ext uri="{FF2B5EF4-FFF2-40B4-BE49-F238E27FC236}">
              <a16:creationId xmlns:a16="http://schemas.microsoft.com/office/drawing/2014/main" id="{5FCE60B2-D332-8DF3-71A1-E32759519D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ames/Documents/Work/09.%20Protocol%20managment/4.%20iRAP%20Star%20Rating%20v3.0/Testbed/iRAP_V3_testbed%20-%20v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s and conditions"/>
      <sheetName val="Front_Page"/>
      <sheetName val="Control"/>
      <sheetName val="Vehicle V3"/>
      <sheetName val="MC V3"/>
      <sheetName val="Ped V3"/>
      <sheetName val="Bike V3"/>
      <sheetName val="Data Upload"/>
      <sheetName val="Global varriables"/>
      <sheetName val="Results"/>
    </sheetNames>
    <sheetDataSet>
      <sheetData sheetId="0"/>
      <sheetData sheetId="1"/>
      <sheetData sheetId="2">
        <row r="15">
          <cell r="D15" t="str">
            <v>Carriageway A of a divided road</v>
          </cell>
        </row>
        <row r="16">
          <cell r="D16" t="str">
            <v>Carriageway B of a divided road</v>
          </cell>
        </row>
        <row r="17">
          <cell r="D17" t="str">
            <v>Undivided road</v>
          </cell>
        </row>
        <row r="18">
          <cell r="D18" t="str">
            <v xml:space="preserve">Carriageway A of a motorcycle facility </v>
          </cell>
        </row>
        <row r="19">
          <cell r="D19" t="str">
            <v>Carriageway B of a motorcycle facility</v>
          </cell>
        </row>
        <row r="20">
          <cell r="D20" t="str">
            <v>Low</v>
          </cell>
        </row>
        <row r="21">
          <cell r="D21" t="str">
            <v>Medium</v>
          </cell>
        </row>
        <row r="22">
          <cell r="D22" t="str">
            <v>High</v>
          </cell>
        </row>
        <row r="23">
          <cell r="D23" t="str">
            <v>None</v>
          </cell>
        </row>
        <row r="24">
          <cell r="D24" t="str">
            <v>1 motorcycle observed</v>
          </cell>
        </row>
        <row r="25">
          <cell r="D25" t="str">
            <v>2 to 3 motorcycles observed</v>
          </cell>
        </row>
        <row r="26">
          <cell r="D26" t="str">
            <v>4 to 5 motorcycles observed</v>
          </cell>
        </row>
        <row r="27">
          <cell r="D27" t="str">
            <v>6 to 7 motorcycles observed</v>
          </cell>
        </row>
        <row r="28">
          <cell r="D28" t="str">
            <v>8+ motorcycles observed</v>
          </cell>
        </row>
        <row r="29">
          <cell r="D29" t="str">
            <v>None</v>
          </cell>
        </row>
        <row r="30">
          <cell r="D30" t="str">
            <v>1 bicycle observed</v>
          </cell>
        </row>
        <row r="31">
          <cell r="D31" t="str">
            <v>2 to 3 bicycles observed</v>
          </cell>
        </row>
        <row r="32">
          <cell r="D32" t="str">
            <v>4 to 5 bicycles observed</v>
          </cell>
        </row>
        <row r="33">
          <cell r="D33" t="str">
            <v>6 to 7 bicycles observed</v>
          </cell>
        </row>
        <row r="34">
          <cell r="D34" t="str">
            <v>8+ bicycles observed</v>
          </cell>
        </row>
        <row r="35">
          <cell r="D35" t="str">
            <v>None</v>
          </cell>
        </row>
        <row r="36">
          <cell r="D36" t="str">
            <v>1 pedestrian crossing observed</v>
          </cell>
        </row>
        <row r="37">
          <cell r="D37" t="str">
            <v>2 to 3 pedestrians crossing observed</v>
          </cell>
        </row>
        <row r="38">
          <cell r="D38" t="str">
            <v>4 to 5 pedestrians crossing observed</v>
          </cell>
        </row>
        <row r="39">
          <cell r="D39" t="str">
            <v>6 to 7 pedestrians crossing observed</v>
          </cell>
        </row>
        <row r="40">
          <cell r="D40" t="str">
            <v>8+ pedestrians crossing observed</v>
          </cell>
        </row>
        <row r="41">
          <cell r="D41" t="str">
            <v>None</v>
          </cell>
        </row>
        <row r="42">
          <cell r="D42" t="str">
            <v>1 pedestrian along driver-side observed</v>
          </cell>
        </row>
        <row r="43">
          <cell r="D43" t="str">
            <v>2 to 3 pedestrians along driver-side observed</v>
          </cell>
        </row>
        <row r="44">
          <cell r="D44" t="str">
            <v>4 to 5 pedestrians along driver-side observed</v>
          </cell>
        </row>
        <row r="45">
          <cell r="D45" t="str">
            <v>6 to 7 pedestrians along driver-side observed</v>
          </cell>
        </row>
        <row r="46">
          <cell r="D46" t="str">
            <v>8+ pedestrians along driver-side observed</v>
          </cell>
        </row>
        <row r="47">
          <cell r="D47" t="str">
            <v>None</v>
          </cell>
        </row>
        <row r="48">
          <cell r="D48" t="str">
            <v>1 pedestrian along passenger-side observed</v>
          </cell>
        </row>
        <row r="49">
          <cell r="D49" t="str">
            <v>2 to 3 pedestrians along passenger-side observed</v>
          </cell>
        </row>
        <row r="50">
          <cell r="D50" t="str">
            <v>4 to 5 pedestrians along passenger-side observed</v>
          </cell>
        </row>
        <row r="51">
          <cell r="D51" t="str">
            <v>6 to 7 pedestrians along passenger-side observed</v>
          </cell>
        </row>
        <row r="52">
          <cell r="D52" t="str">
            <v>8+ pedestrians along passenger-side observed</v>
          </cell>
        </row>
        <row r="53">
          <cell r="D53" t="str">
            <v>Undeveloped areas</v>
          </cell>
        </row>
        <row r="54">
          <cell r="D54" t="str">
            <v>Farming and agricultural</v>
          </cell>
        </row>
        <row r="55">
          <cell r="D55" t="str">
            <v>Residential</v>
          </cell>
        </row>
        <row r="56">
          <cell r="D56" t="str">
            <v>Commercial</v>
          </cell>
        </row>
        <row r="57">
          <cell r="D57" t="str">
            <v>Not Recorded</v>
          </cell>
        </row>
        <row r="58">
          <cell r="D58" t="str">
            <v>Educational</v>
          </cell>
        </row>
        <row r="59">
          <cell r="D59" t="str">
            <v>Industrial and manufacturing</v>
          </cell>
        </row>
        <row r="60">
          <cell r="D60" t="str">
            <v>Undeveloped areas</v>
          </cell>
        </row>
        <row r="61">
          <cell r="D61" t="str">
            <v>Farming and agricultural</v>
          </cell>
        </row>
        <row r="62">
          <cell r="D62" t="str">
            <v>Residential</v>
          </cell>
        </row>
        <row r="63">
          <cell r="D63" t="str">
            <v>Commercial</v>
          </cell>
        </row>
        <row r="64">
          <cell r="D64" t="str">
            <v>Not Recorded</v>
          </cell>
        </row>
        <row r="65">
          <cell r="D65" t="str">
            <v>Educational</v>
          </cell>
        </row>
        <row r="66">
          <cell r="D66" t="str">
            <v>Industrial and manufacturing</v>
          </cell>
        </row>
        <row r="67">
          <cell r="D67" t="str">
            <v>Rural / open area</v>
          </cell>
        </row>
        <row r="68">
          <cell r="D68" t="str">
            <v>Urban / rural town or village</v>
          </cell>
        </row>
        <row r="69">
          <cell r="D69" t="str">
            <v>&lt;30km/h</v>
          </cell>
        </row>
        <row r="70">
          <cell r="D70" t="str">
            <v>40km/h</v>
          </cell>
        </row>
        <row r="71">
          <cell r="D71" t="str">
            <v>50km/h</v>
          </cell>
        </row>
        <row r="72">
          <cell r="D72" t="str">
            <v>60km/h</v>
          </cell>
        </row>
        <row r="73">
          <cell r="D73" t="str">
            <v>70km/h</v>
          </cell>
        </row>
        <row r="74">
          <cell r="D74" t="str">
            <v>80km/h</v>
          </cell>
        </row>
        <row r="75">
          <cell r="D75" t="str">
            <v>90km/h</v>
          </cell>
        </row>
        <row r="76">
          <cell r="D76" t="str">
            <v>100km/h</v>
          </cell>
        </row>
        <row r="77">
          <cell r="D77" t="str">
            <v>110km/h</v>
          </cell>
        </row>
        <row r="78">
          <cell r="D78" t="str">
            <v>120km/h</v>
          </cell>
        </row>
        <row r="79">
          <cell r="D79" t="str">
            <v>130km/h</v>
          </cell>
        </row>
        <row r="80">
          <cell r="D80" t="str">
            <v>140km/h</v>
          </cell>
        </row>
        <row r="81">
          <cell r="D81" t="str">
            <v>≥150km/h</v>
          </cell>
        </row>
        <row r="82">
          <cell r="D82" t="str">
            <v>&lt;20mph</v>
          </cell>
        </row>
        <row r="83">
          <cell r="D83" t="str">
            <v>30mph</v>
          </cell>
        </row>
        <row r="84">
          <cell r="D84" t="str">
            <v>40mph</v>
          </cell>
        </row>
        <row r="85">
          <cell r="D85" t="str">
            <v>50mph</v>
          </cell>
        </row>
        <row r="86">
          <cell r="D86" t="str">
            <v>60mph</v>
          </cell>
        </row>
        <row r="87">
          <cell r="D87" t="str">
            <v>70mph</v>
          </cell>
        </row>
        <row r="88">
          <cell r="D88" t="str">
            <v>80mph</v>
          </cell>
        </row>
        <row r="89">
          <cell r="D89" t="str">
            <v>≥90mph</v>
          </cell>
        </row>
        <row r="132">
          <cell r="D132" t="str">
            <v>Not present</v>
          </cell>
        </row>
        <row r="133">
          <cell r="D133" t="str">
            <v>Present</v>
          </cell>
        </row>
        <row r="134">
          <cell r="D134" t="str">
            <v>Safety barrier - metal</v>
          </cell>
        </row>
        <row r="135">
          <cell r="D135" t="str">
            <v>Safety barrier - concrete</v>
          </cell>
        </row>
        <row r="136">
          <cell r="D136" t="str">
            <v>Physical median width ≥ 20.0m</v>
          </cell>
        </row>
        <row r="137">
          <cell r="D137" t="str">
            <v>Physical median width ≥ 10.0m to &lt; 20.0m</v>
          </cell>
        </row>
        <row r="138">
          <cell r="D138" t="str">
            <v>Physical median width ≥ 5.0m to &lt; 10.0m</v>
          </cell>
        </row>
        <row r="139">
          <cell r="D139" t="str">
            <v>Physical median width ≥ 1.0m to &lt; 5.0m</v>
          </cell>
        </row>
        <row r="140">
          <cell r="D140" t="str">
            <v>Physical median width ≥ 0m to &lt; 1.0m</v>
          </cell>
        </row>
        <row r="141">
          <cell r="D141" t="str">
            <v>Continuous central turning lane</v>
          </cell>
        </row>
        <row r="142">
          <cell r="D142" t="str">
            <v>Flexipost</v>
          </cell>
        </row>
        <row r="143">
          <cell r="D143" t="str">
            <v>Central hatching (&gt;1m)</v>
          </cell>
        </row>
        <row r="144">
          <cell r="D144" t="str">
            <v>Centre line</v>
          </cell>
        </row>
        <row r="145">
          <cell r="D145" t="str">
            <v>Safety barrier - motorcycle friendly</v>
          </cell>
        </row>
        <row r="146">
          <cell r="D146" t="str">
            <v>One way</v>
          </cell>
        </row>
        <row r="147">
          <cell r="D147" t="str">
            <v>Wide centre line (0.3m to 1m)</v>
          </cell>
        </row>
        <row r="148">
          <cell r="D148" t="str">
            <v>Safety barrier - wire rope</v>
          </cell>
        </row>
        <row r="149">
          <cell r="D149" t="str">
            <v>Not present</v>
          </cell>
        </row>
        <row r="150">
          <cell r="D150" t="str">
            <v>Present</v>
          </cell>
        </row>
        <row r="151">
          <cell r="D151" t="str">
            <v>0 to &lt;1m</v>
          </cell>
        </row>
        <row r="152">
          <cell r="D152" t="str">
            <v>1 to &lt;5m</v>
          </cell>
        </row>
        <row r="153">
          <cell r="D153" t="str">
            <v>5 to &lt;10m</v>
          </cell>
        </row>
        <row r="154">
          <cell r="D154" t="str">
            <v>≥ 10m</v>
          </cell>
        </row>
        <row r="155">
          <cell r="D155" t="str">
            <v>Safety barrier - metal</v>
          </cell>
        </row>
        <row r="156">
          <cell r="D156" t="str">
            <v>Safety barrier - concrete</v>
          </cell>
        </row>
        <row r="157">
          <cell r="D157" t="str">
            <v>Safety barrier - motorcycle friendly</v>
          </cell>
        </row>
        <row r="158">
          <cell r="D158" t="str">
            <v>Safety barrier - wire rope</v>
          </cell>
        </row>
        <row r="159">
          <cell r="D159" t="str">
            <v>Aggressive vertical face</v>
          </cell>
        </row>
        <row r="160">
          <cell r="D160" t="str">
            <v>Upwards slope - (15° to 75°)</v>
          </cell>
        </row>
        <row r="161">
          <cell r="D161" t="str">
            <v>Upwards slope - (&gt;= 75°) </v>
          </cell>
        </row>
        <row r="162">
          <cell r="D162" t="str">
            <v>Deep drainage ditch</v>
          </cell>
        </row>
        <row r="163">
          <cell r="D163" t="str">
            <v>Downwards slope (&gt; -15°)</v>
          </cell>
        </row>
        <row r="164">
          <cell r="D164" t="str">
            <v>Cliff</v>
          </cell>
        </row>
        <row r="165">
          <cell r="D165" t="str">
            <v>Tree ≥ 10cm </v>
          </cell>
        </row>
        <row r="166">
          <cell r="D166" t="str">
            <v>Sign, post or pole ≥ 10cm </v>
          </cell>
        </row>
        <row r="167">
          <cell r="D167" t="str">
            <v>Non-frangible structure/bridge or building</v>
          </cell>
        </row>
        <row r="168">
          <cell r="D168" t="str">
            <v>Frangible structure or building</v>
          </cell>
        </row>
        <row r="169">
          <cell r="D169" t="str">
            <v>Unprotected safety barrier end</v>
          </cell>
        </row>
        <row r="170">
          <cell r="D170" t="str">
            <v>Large boulders ≥ 20cm high</v>
          </cell>
        </row>
        <row r="171">
          <cell r="D171" t="str">
            <v>No object</v>
          </cell>
        </row>
        <row r="172">
          <cell r="D172" t="str">
            <v>0 to &lt;1m</v>
          </cell>
        </row>
        <row r="173">
          <cell r="D173" t="str">
            <v>1 to &lt;5m</v>
          </cell>
        </row>
        <row r="174">
          <cell r="D174" t="str">
            <v>5 to &lt;10m</v>
          </cell>
        </row>
        <row r="175">
          <cell r="D175" t="str">
            <v>≥10m</v>
          </cell>
        </row>
        <row r="176">
          <cell r="D176" t="str">
            <v>Safety barrier - metal</v>
          </cell>
        </row>
        <row r="177">
          <cell r="D177" t="str">
            <v>Safety barrier - concrete</v>
          </cell>
        </row>
        <row r="178">
          <cell r="D178" t="str">
            <v>Safety barrier - motorcycle friendly</v>
          </cell>
        </row>
        <row r="179">
          <cell r="D179" t="str">
            <v>Safety barrier - wire rope</v>
          </cell>
        </row>
        <row r="180">
          <cell r="D180" t="str">
            <v>Aggressive vertical face</v>
          </cell>
        </row>
        <row r="181">
          <cell r="D181" t="str">
            <v>Upwards slope - (15° to 75°)</v>
          </cell>
        </row>
        <row r="182">
          <cell r="D182" t="str">
            <v>Upwards slope - (&gt;= 75°) </v>
          </cell>
        </row>
        <row r="183">
          <cell r="D183" t="str">
            <v>Deep drainage ditch</v>
          </cell>
        </row>
        <row r="184">
          <cell r="D184" t="str">
            <v>Downwards slope (&gt; -15°)</v>
          </cell>
        </row>
        <row r="185">
          <cell r="D185" t="str">
            <v>Cliff</v>
          </cell>
        </row>
        <row r="186">
          <cell r="D186" t="str">
            <v>Tree ≥ 10cm </v>
          </cell>
        </row>
        <row r="187">
          <cell r="D187" t="str">
            <v>Sign, post or pole ≥ 10cm </v>
          </cell>
        </row>
        <row r="188">
          <cell r="D188" t="str">
            <v>Non-frangible structure/bridge or building</v>
          </cell>
        </row>
        <row r="189">
          <cell r="D189" t="str">
            <v>Frangible structure or building</v>
          </cell>
        </row>
        <row r="190">
          <cell r="D190" t="str">
            <v>Unprotected safety barrier end</v>
          </cell>
        </row>
        <row r="191">
          <cell r="D191" t="str">
            <v>Large boulders ≥ 20cm high</v>
          </cell>
        </row>
        <row r="192">
          <cell r="D192" t="str">
            <v>No object</v>
          </cell>
        </row>
        <row r="193">
          <cell r="D193" t="str">
            <v>Not present</v>
          </cell>
        </row>
        <row r="194">
          <cell r="D194" t="str">
            <v>Present</v>
          </cell>
        </row>
        <row r="195">
          <cell r="D195" t="str">
            <v>Wide (≥ 2.4m)</v>
          </cell>
        </row>
        <row r="196">
          <cell r="D196" t="str">
            <v>Medium (≥ 1.0m to &lt; 2.4m)</v>
          </cell>
        </row>
        <row r="197">
          <cell r="D197" t="str">
            <v>Narrow (≥ 0m to &lt; 1.0m)</v>
          </cell>
        </row>
        <row r="198">
          <cell r="D198" t="str">
            <v>None</v>
          </cell>
        </row>
        <row r="199">
          <cell r="D199" t="str">
            <v>Wide (≥ 2.4m)</v>
          </cell>
        </row>
        <row r="200">
          <cell r="D200" t="str">
            <v>Medium (≥ 1.0m to &lt; 2.4m)</v>
          </cell>
        </row>
        <row r="201">
          <cell r="D201" t="str">
            <v>Narrow (≥ 0m to &lt; 1.0m)</v>
          </cell>
        </row>
        <row r="202">
          <cell r="D202" t="str">
            <v>None</v>
          </cell>
        </row>
        <row r="203">
          <cell r="D203" t="str">
            <v>Merge lane</v>
          </cell>
        </row>
        <row r="204">
          <cell r="D204" t="str">
            <v>Roundabout</v>
          </cell>
        </row>
        <row r="205">
          <cell r="D205" t="str">
            <v>3-leg unsignalised with protected turn lane</v>
          </cell>
        </row>
        <row r="206">
          <cell r="D206" t="str">
            <v>3-leg unsignalised with no protected turn lane</v>
          </cell>
        </row>
        <row r="207">
          <cell r="D207" t="str">
            <v>3-leg signalised with protected turn lane</v>
          </cell>
        </row>
        <row r="208">
          <cell r="D208" t="str">
            <v>3-leg signalised with no protected turn lane</v>
          </cell>
        </row>
        <row r="209">
          <cell r="D209" t="str">
            <v>4-leg unsignalised with protected turn lane</v>
          </cell>
        </row>
        <row r="210">
          <cell r="D210" t="str">
            <v>4-leg unsignalised with no protected turn lane</v>
          </cell>
        </row>
        <row r="211">
          <cell r="D211" t="str">
            <v>4-leg signalised with protected turn lane</v>
          </cell>
        </row>
        <row r="212">
          <cell r="D212" t="str">
            <v>4-leg signalised with no protected turn lane</v>
          </cell>
        </row>
        <row r="213">
          <cell r="D213" t="str">
            <v>Do not use this code</v>
          </cell>
        </row>
        <row r="214">
          <cell r="D214" t="str">
            <v>None</v>
          </cell>
        </row>
        <row r="215">
          <cell r="D215" t="str">
            <v>Railway Crossing - passive (signs only)</v>
          </cell>
        </row>
        <row r="216">
          <cell r="D216" t="str">
            <v>Railway Crossing - active (flashing lights / boom gates)</v>
          </cell>
        </row>
        <row r="217">
          <cell r="D217" t="str">
            <v>Median crossing point - informal</v>
          </cell>
        </row>
        <row r="218">
          <cell r="D218" t="str">
            <v>Median crossing point - formal</v>
          </cell>
        </row>
        <row r="219">
          <cell r="D219" t="str">
            <v>Mini roundabout</v>
          </cell>
        </row>
        <row r="220">
          <cell r="D220" t="str">
            <v>Not present</v>
          </cell>
        </row>
        <row r="221">
          <cell r="D221" t="str">
            <v>Present</v>
          </cell>
        </row>
        <row r="222">
          <cell r="D222" t="str">
            <v>≥15,000 vehicles</v>
          </cell>
        </row>
        <row r="223">
          <cell r="D223" t="str">
            <v>10,000 to 15,000 vehicles</v>
          </cell>
        </row>
        <row r="224">
          <cell r="D224" t="str">
            <v>5,000 to 10,000 vehicles</v>
          </cell>
        </row>
        <row r="225">
          <cell r="D225" t="str">
            <v>1,000 to 5,000 vehicles</v>
          </cell>
        </row>
        <row r="226">
          <cell r="D226" t="str">
            <v>100 to 1,000 vehicles</v>
          </cell>
        </row>
        <row r="227">
          <cell r="D227" t="str">
            <v>1 to 100 vehciles</v>
          </cell>
        </row>
        <row r="228">
          <cell r="D228" t="str">
            <v>Not applicable</v>
          </cell>
        </row>
        <row r="229">
          <cell r="D229" t="str">
            <v>Adequate</v>
          </cell>
        </row>
        <row r="230">
          <cell r="D230" t="str">
            <v xml:space="preserve">Poor   </v>
          </cell>
        </row>
        <row r="231">
          <cell r="D231" t="str">
            <v>Not applicable</v>
          </cell>
        </row>
        <row r="232">
          <cell r="D232" t="str">
            <v>Commercial Access 1+</v>
          </cell>
        </row>
        <row r="233">
          <cell r="D233" t="str">
            <v>Residential Access 3+</v>
          </cell>
        </row>
        <row r="234">
          <cell r="D234" t="str">
            <v>Residential Access 1 or 2</v>
          </cell>
        </row>
        <row r="235">
          <cell r="D235" t="str">
            <v>None</v>
          </cell>
        </row>
        <row r="236">
          <cell r="D236" t="str">
            <v>One</v>
          </cell>
        </row>
        <row r="237">
          <cell r="D237" t="str">
            <v xml:space="preserve">Two   </v>
          </cell>
        </row>
        <row r="238">
          <cell r="D238" t="str">
            <v>Three</v>
          </cell>
        </row>
        <row r="239">
          <cell r="D239" t="str">
            <v>Four or more</v>
          </cell>
        </row>
        <row r="240">
          <cell r="D240" t="str">
            <v>Two and one</v>
          </cell>
        </row>
        <row r="241">
          <cell r="D241" t="str">
            <v>Three and two</v>
          </cell>
        </row>
        <row r="242">
          <cell r="D242" t="str">
            <v>Wide (≥ 3.25m)</v>
          </cell>
        </row>
        <row r="243">
          <cell r="D243" t="str">
            <v>Medium (≥ 2.75m to &lt; 3.25m)</v>
          </cell>
        </row>
        <row r="244">
          <cell r="D244" t="str">
            <v>Narrow (≥ 0m to &lt; 2.75m)</v>
          </cell>
        </row>
        <row r="245">
          <cell r="D245" t="str">
            <v>Straight or gently curving</v>
          </cell>
        </row>
        <row r="246">
          <cell r="D246" t="str">
            <v>Moderate</v>
          </cell>
        </row>
        <row r="247">
          <cell r="D247" t="str">
            <v>Sharp</v>
          </cell>
        </row>
        <row r="248">
          <cell r="D248" t="str">
            <v>Very sharp</v>
          </cell>
        </row>
        <row r="249">
          <cell r="D249" t="str">
            <v>Adequate</v>
          </cell>
        </row>
        <row r="250">
          <cell r="D250" t="str">
            <v>Poor</v>
          </cell>
        </row>
        <row r="251">
          <cell r="D251" t="str">
            <v>Not applicable</v>
          </cell>
        </row>
        <row r="252">
          <cell r="D252" t="str">
            <v>≥ 0% to &lt;4%</v>
          </cell>
        </row>
        <row r="253">
          <cell r="D253" t="str">
            <v>≥ 4% to &lt;5%</v>
          </cell>
        </row>
        <row r="254">
          <cell r="D254" t="str">
            <v>≥ 5% to &lt;7.5%</v>
          </cell>
        </row>
        <row r="255">
          <cell r="D255" t="str">
            <v>≥ 7.5% to &lt;10%</v>
          </cell>
        </row>
        <row r="256">
          <cell r="D256" t="str">
            <v>≥ 10%</v>
          </cell>
        </row>
        <row r="257">
          <cell r="D257" t="str">
            <v>Good</v>
          </cell>
        </row>
        <row r="258">
          <cell r="D258" t="str">
            <v>Medium</v>
          </cell>
        </row>
        <row r="259">
          <cell r="D259" t="str">
            <v>Poor</v>
          </cell>
        </row>
        <row r="260">
          <cell r="D260" t="str">
            <v>Sealed - adequate</v>
          </cell>
        </row>
        <row r="261">
          <cell r="D261" t="str">
            <v>Sealed - medium</v>
          </cell>
        </row>
        <row r="262">
          <cell r="D262" t="str">
            <v>Sealed - poor</v>
          </cell>
        </row>
        <row r="263">
          <cell r="D263" t="str">
            <v>Unsealed - adequate</v>
          </cell>
        </row>
        <row r="264">
          <cell r="D264" t="str">
            <v>Unsealed - poor</v>
          </cell>
        </row>
        <row r="265">
          <cell r="D265" t="str">
            <v>Adequate</v>
          </cell>
        </row>
        <row r="266">
          <cell r="D266" t="str">
            <v>Poor</v>
          </cell>
        </row>
        <row r="267">
          <cell r="D267" t="str">
            <v>Not present</v>
          </cell>
        </row>
        <row r="268">
          <cell r="D268" t="str">
            <v>Present</v>
          </cell>
        </row>
        <row r="269">
          <cell r="D269" t="str">
            <v>Grade separated facility</v>
          </cell>
        </row>
        <row r="270">
          <cell r="D270" t="str">
            <v>Signalised with refuge</v>
          </cell>
        </row>
        <row r="271">
          <cell r="D271" t="str">
            <v>Signalised without refuge</v>
          </cell>
        </row>
        <row r="272">
          <cell r="D272" t="str">
            <v>Unsignalised marked crossing with refuge</v>
          </cell>
        </row>
        <row r="273">
          <cell r="D273" t="str">
            <v>Unsignalised marked crossing without a refuge</v>
          </cell>
        </row>
        <row r="274">
          <cell r="D274" t="str">
            <v>Refuge only</v>
          </cell>
        </row>
        <row r="275">
          <cell r="D275" t="str">
            <v>No facility</v>
          </cell>
        </row>
        <row r="276">
          <cell r="D276" t="str">
            <v>Unsignalised raised marked crossing with refuge</v>
          </cell>
        </row>
        <row r="277">
          <cell r="D277" t="str">
            <v>Unsignalised raised marked crossing without refuge</v>
          </cell>
        </row>
        <row r="278">
          <cell r="D278" t="str">
            <v>Raised unmarked crossing with refuge</v>
          </cell>
        </row>
        <row r="279">
          <cell r="D279" t="str">
            <v>Raised unmarked crossing without refuge</v>
          </cell>
        </row>
        <row r="280">
          <cell r="D280" t="str">
            <v>Adequate</v>
          </cell>
        </row>
        <row r="281">
          <cell r="D281" t="str">
            <v>Poor</v>
          </cell>
        </row>
        <row r="282">
          <cell r="D282" t="str">
            <v>Not applicable</v>
          </cell>
        </row>
        <row r="283">
          <cell r="D283" t="str">
            <v>Grade separated facility</v>
          </cell>
        </row>
        <row r="284">
          <cell r="D284" t="str">
            <v>Signalised with refuge</v>
          </cell>
        </row>
        <row r="285">
          <cell r="D285" t="str">
            <v>Signalised without refuge</v>
          </cell>
        </row>
        <row r="286">
          <cell r="D286" t="str">
            <v>Unsignalised marked crossing with refuge</v>
          </cell>
        </row>
        <row r="287">
          <cell r="D287" t="str">
            <v>Unsignalised marked crossing without a refuge</v>
          </cell>
        </row>
        <row r="288">
          <cell r="D288" t="str">
            <v>Refuge only</v>
          </cell>
        </row>
        <row r="289">
          <cell r="D289" t="str">
            <v>No facility</v>
          </cell>
        </row>
        <row r="290">
          <cell r="D290" t="str">
            <v>Unsignalised raised marked crossing with refuge</v>
          </cell>
        </row>
        <row r="291">
          <cell r="D291" t="str">
            <v>Unsignalised raised marked crossing without refuge</v>
          </cell>
        </row>
        <row r="292">
          <cell r="D292" t="str">
            <v>Raised unmarked crossing with refuge</v>
          </cell>
        </row>
        <row r="293">
          <cell r="D293" t="str">
            <v>Raised unmarked crossing without refuge</v>
          </cell>
        </row>
        <row r="294">
          <cell r="D294" t="str">
            <v>Not present</v>
          </cell>
        </row>
        <row r="295">
          <cell r="D295" t="str">
            <v>Present</v>
          </cell>
        </row>
        <row r="296">
          <cell r="D296" t="str">
            <v>Not present</v>
          </cell>
        </row>
        <row r="297">
          <cell r="D297" t="str">
            <v>Present</v>
          </cell>
        </row>
        <row r="298">
          <cell r="D298" t="str">
            <v>None</v>
          </cell>
        </row>
        <row r="299">
          <cell r="D299" t="str">
            <v>One side</v>
          </cell>
        </row>
        <row r="300">
          <cell r="D300" t="str">
            <v>Two sides</v>
          </cell>
        </row>
        <row r="301">
          <cell r="D301" t="str">
            <v>Physical barrier</v>
          </cell>
        </row>
        <row r="302">
          <cell r="D302" t="str">
            <v>Non-physical separation ≥ 3.0m</v>
          </cell>
        </row>
        <row r="303">
          <cell r="D303" t="str">
            <v>Non-physical separation 1.0m to &lt;3.0m</v>
          </cell>
        </row>
        <row r="304">
          <cell r="D304" t="str">
            <v>Non-physical separation 0m to &lt;1.0m</v>
          </cell>
        </row>
        <row r="305">
          <cell r="D305" t="str">
            <v>None</v>
          </cell>
        </row>
        <row r="306">
          <cell r="D306" t="str">
            <v>Informal path ≥ 1.0m</v>
          </cell>
        </row>
        <row r="307">
          <cell r="D307" t="str">
            <v>Informal path 0m to &lt;1.0m</v>
          </cell>
        </row>
        <row r="308">
          <cell r="D308" t="str">
            <v>Physical barrier</v>
          </cell>
        </row>
        <row r="309">
          <cell r="D309" t="str">
            <v>Non-physical separation ≥ 3.0m</v>
          </cell>
        </row>
        <row r="310">
          <cell r="D310" t="str">
            <v>Non-physical separation 1.0m to &lt;3.0m</v>
          </cell>
        </row>
        <row r="311">
          <cell r="D311" t="str">
            <v>Non-physical separation 0m to &lt;1.0m</v>
          </cell>
        </row>
        <row r="312">
          <cell r="D312" t="str">
            <v>None</v>
          </cell>
        </row>
        <row r="313">
          <cell r="D313" t="str">
            <v>Informal path ≥ 1.0m</v>
          </cell>
        </row>
        <row r="314">
          <cell r="D314" t="str">
            <v>Informal path 0m to &lt;1.0m</v>
          </cell>
        </row>
        <row r="315">
          <cell r="D315" t="str">
            <v>Not present</v>
          </cell>
        </row>
        <row r="316">
          <cell r="D316" t="str">
            <v>Present</v>
          </cell>
        </row>
        <row r="317">
          <cell r="D317" t="str">
            <v>Exclusive one way motorcycle path with barrier</v>
          </cell>
        </row>
        <row r="318">
          <cell r="D318" t="str">
            <v>Exclusive one way motorcycle path without barrier</v>
          </cell>
        </row>
        <row r="319">
          <cell r="D319" t="str">
            <v>Exclusive two way motorcycle path with barrier</v>
          </cell>
        </row>
        <row r="320">
          <cell r="D320" t="str">
            <v>Exclusive two way motorcycle path without barrier</v>
          </cell>
        </row>
        <row r="321">
          <cell r="D321" t="str">
            <v>Inclusive motorcycle lane on roadway</v>
          </cell>
        </row>
        <row r="322">
          <cell r="D322" t="str">
            <v>None</v>
          </cell>
        </row>
        <row r="323">
          <cell r="D323" t="str">
            <v>Off-road path with barrier</v>
          </cell>
        </row>
        <row r="324">
          <cell r="D324" t="str">
            <v xml:space="preserve">Off-road path </v>
          </cell>
        </row>
        <row r="325">
          <cell r="D325" t="str">
            <v>On-road lane</v>
          </cell>
        </row>
        <row r="326">
          <cell r="D326" t="str">
            <v>None</v>
          </cell>
        </row>
        <row r="327">
          <cell r="D327" t="str">
            <v>Extra wide outside  (≥4.2m)</v>
          </cell>
        </row>
        <row r="328">
          <cell r="D328" t="str">
            <v>Signed shared roadway</v>
          </cell>
        </row>
        <row r="329">
          <cell r="D329" t="str">
            <v>Shared use path</v>
          </cell>
        </row>
        <row r="330">
          <cell r="D330" t="str">
            <v>No road works</v>
          </cell>
        </row>
        <row r="331">
          <cell r="D331" t="str">
            <v>Minor road works in progress</v>
          </cell>
        </row>
        <row r="332">
          <cell r="D332" t="str">
            <v>Major road works in progress</v>
          </cell>
        </row>
        <row r="333">
          <cell r="D333" t="str">
            <v>Adequate</v>
          </cell>
        </row>
        <row r="334">
          <cell r="D334" t="str">
            <v xml:space="preserve">Poor   </v>
          </cell>
        </row>
        <row r="336">
          <cell r="D336" t="str">
            <v>Not recorded</v>
          </cell>
        </row>
        <row r="337">
          <cell r="D337">
            <v>0</v>
          </cell>
        </row>
        <row r="338">
          <cell r="D338" t="str">
            <v>1% - 5%</v>
          </cell>
        </row>
        <row r="339">
          <cell r="D339" t="str">
            <v>6% - 10%</v>
          </cell>
        </row>
        <row r="340">
          <cell r="D340" t="str">
            <v>11% - 20%</v>
          </cell>
        </row>
        <row r="341">
          <cell r="D341" t="str">
            <v>21% - 40%</v>
          </cell>
        </row>
        <row r="342">
          <cell r="D342" t="str">
            <v>41% - 60%</v>
          </cell>
        </row>
        <row r="343">
          <cell r="D343" t="str">
            <v>61% - 80%</v>
          </cell>
        </row>
        <row r="344">
          <cell r="D344" t="str">
            <v>81% - 99%</v>
          </cell>
        </row>
        <row r="345">
          <cell r="D345" t="str">
            <v>100%</v>
          </cell>
        </row>
        <row r="346">
          <cell r="D346">
            <v>0</v>
          </cell>
        </row>
        <row r="347">
          <cell r="D347" t="str">
            <v>1 to 5</v>
          </cell>
        </row>
        <row r="348">
          <cell r="D348" t="str">
            <v>6 to  25</v>
          </cell>
        </row>
        <row r="349">
          <cell r="D349" t="str">
            <v>26 to 50</v>
          </cell>
        </row>
        <row r="350">
          <cell r="D350" t="str">
            <v>51 to 100</v>
          </cell>
        </row>
        <row r="351">
          <cell r="D351" t="str">
            <v>101 to 200</v>
          </cell>
        </row>
        <row r="352">
          <cell r="D352" t="str">
            <v>201 to 300</v>
          </cell>
        </row>
        <row r="353">
          <cell r="D353" t="str">
            <v>301 to 400</v>
          </cell>
        </row>
        <row r="354">
          <cell r="D354" t="str">
            <v>401 to 500</v>
          </cell>
        </row>
        <row r="355">
          <cell r="D355" t="str">
            <v>501 to 900</v>
          </cell>
        </row>
        <row r="356">
          <cell r="D356" t="str">
            <v>900+</v>
          </cell>
        </row>
        <row r="390">
          <cell r="D390" t="str">
            <v>&lt;30km/h</v>
          </cell>
        </row>
        <row r="391">
          <cell r="D391" t="str">
            <v>35km/h</v>
          </cell>
        </row>
        <row r="392">
          <cell r="D392" t="str">
            <v>40km/h</v>
          </cell>
        </row>
        <row r="393">
          <cell r="D393" t="str">
            <v>45km/h</v>
          </cell>
        </row>
        <row r="394">
          <cell r="D394" t="str">
            <v>50km/h</v>
          </cell>
        </row>
        <row r="395">
          <cell r="D395" t="str">
            <v>55km/h</v>
          </cell>
        </row>
        <row r="396">
          <cell r="D396" t="str">
            <v>60km/h</v>
          </cell>
        </row>
        <row r="397">
          <cell r="D397" t="str">
            <v>65km/h</v>
          </cell>
        </row>
        <row r="398">
          <cell r="D398" t="str">
            <v>70km/h</v>
          </cell>
        </row>
        <row r="399">
          <cell r="D399" t="str">
            <v>75km/h</v>
          </cell>
        </row>
        <row r="400">
          <cell r="D400" t="str">
            <v>80km/h</v>
          </cell>
        </row>
        <row r="401">
          <cell r="D401" t="str">
            <v>85km/h</v>
          </cell>
        </row>
        <row r="402">
          <cell r="D402" t="str">
            <v>90km/h</v>
          </cell>
        </row>
        <row r="403">
          <cell r="D403" t="str">
            <v>95km/h</v>
          </cell>
        </row>
        <row r="404">
          <cell r="D404" t="str">
            <v>100km/h</v>
          </cell>
        </row>
        <row r="405">
          <cell r="D405" t="str">
            <v>105km/h</v>
          </cell>
        </row>
        <row r="406">
          <cell r="D406" t="str">
            <v>110km/h</v>
          </cell>
        </row>
        <row r="407">
          <cell r="D407" t="str">
            <v>115km/h</v>
          </cell>
        </row>
        <row r="408">
          <cell r="D408" t="str">
            <v>120km/h</v>
          </cell>
        </row>
        <row r="409">
          <cell r="D409" t="str">
            <v>125km/h</v>
          </cell>
        </row>
        <row r="410">
          <cell r="D410" t="str">
            <v>130km/h</v>
          </cell>
        </row>
        <row r="411">
          <cell r="D411" t="str">
            <v>135km/h</v>
          </cell>
        </row>
        <row r="412">
          <cell r="D412" t="str">
            <v>140km/h</v>
          </cell>
        </row>
        <row r="413">
          <cell r="D413" t="str">
            <v>145km/h</v>
          </cell>
        </row>
        <row r="414">
          <cell r="D414" t="str">
            <v>≥150km/h</v>
          </cell>
        </row>
        <row r="415">
          <cell r="D415" t="str">
            <v>&lt;24mph</v>
          </cell>
        </row>
        <row r="416">
          <cell r="D416" t="str">
            <v>25mph</v>
          </cell>
        </row>
        <row r="417">
          <cell r="D417" t="str">
            <v>30mph</v>
          </cell>
        </row>
        <row r="418">
          <cell r="D418" t="str">
            <v>35mph</v>
          </cell>
        </row>
        <row r="419">
          <cell r="D419" t="str">
            <v>40mph</v>
          </cell>
        </row>
        <row r="420">
          <cell r="D420" t="str">
            <v>45mph</v>
          </cell>
        </row>
        <row r="421">
          <cell r="D421" t="str">
            <v>50mph</v>
          </cell>
        </row>
        <row r="422">
          <cell r="D422" t="str">
            <v>55mph</v>
          </cell>
        </row>
        <row r="423">
          <cell r="D423" t="str">
            <v>60mph</v>
          </cell>
        </row>
        <row r="424">
          <cell r="D424" t="str">
            <v>65mph</v>
          </cell>
        </row>
        <row r="425">
          <cell r="D425" t="str">
            <v>70mph</v>
          </cell>
        </row>
        <row r="426">
          <cell r="D426" t="str">
            <v>75mph</v>
          </cell>
        </row>
        <row r="427">
          <cell r="D427" t="str">
            <v>80mph</v>
          </cell>
        </row>
        <row r="428">
          <cell r="D428" t="str">
            <v>85mph</v>
          </cell>
        </row>
        <row r="429">
          <cell r="D429" t="str">
            <v>≥90mph</v>
          </cell>
        </row>
        <row r="430">
          <cell r="D430" t="str">
            <v>&lt;30km/h</v>
          </cell>
        </row>
        <row r="431">
          <cell r="D431" t="str">
            <v>35km/h</v>
          </cell>
        </row>
        <row r="432">
          <cell r="D432" t="str">
            <v>40km/h</v>
          </cell>
        </row>
        <row r="433">
          <cell r="D433" t="str">
            <v>45km/h</v>
          </cell>
        </row>
        <row r="434">
          <cell r="D434" t="str">
            <v>50km/h</v>
          </cell>
        </row>
        <row r="435">
          <cell r="D435" t="str">
            <v>55km/h</v>
          </cell>
        </row>
        <row r="436">
          <cell r="D436" t="str">
            <v>60km/h</v>
          </cell>
        </row>
        <row r="437">
          <cell r="D437" t="str">
            <v>65km/h</v>
          </cell>
        </row>
        <row r="438">
          <cell r="D438" t="str">
            <v>70km/h</v>
          </cell>
        </row>
        <row r="439">
          <cell r="D439" t="str">
            <v>75km/h</v>
          </cell>
        </row>
        <row r="440">
          <cell r="D440" t="str">
            <v>80km/h</v>
          </cell>
        </row>
        <row r="441">
          <cell r="D441" t="str">
            <v>85km/h</v>
          </cell>
        </row>
        <row r="442">
          <cell r="D442" t="str">
            <v>90km/h</v>
          </cell>
        </row>
        <row r="443">
          <cell r="D443" t="str">
            <v>95km/h</v>
          </cell>
        </row>
        <row r="444">
          <cell r="D444" t="str">
            <v>100km/h</v>
          </cell>
        </row>
        <row r="445">
          <cell r="D445" t="str">
            <v>105km/h</v>
          </cell>
        </row>
        <row r="446">
          <cell r="D446" t="str">
            <v>110km/h</v>
          </cell>
        </row>
        <row r="447">
          <cell r="D447" t="str">
            <v>115km/h</v>
          </cell>
        </row>
        <row r="448">
          <cell r="D448" t="str">
            <v>120km/h</v>
          </cell>
        </row>
        <row r="449">
          <cell r="D449" t="str">
            <v>125km/h</v>
          </cell>
        </row>
        <row r="450">
          <cell r="D450" t="str">
            <v>130km/h</v>
          </cell>
        </row>
        <row r="451">
          <cell r="D451" t="str">
            <v>135km/h</v>
          </cell>
        </row>
        <row r="452">
          <cell r="D452" t="str">
            <v>140km/h</v>
          </cell>
        </row>
        <row r="453">
          <cell r="D453" t="str">
            <v>145km/h</v>
          </cell>
        </row>
        <row r="454">
          <cell r="D454" t="str">
            <v>≥150km/h</v>
          </cell>
        </row>
        <row r="455">
          <cell r="D455" t="str">
            <v>&lt;24mph</v>
          </cell>
        </row>
        <row r="456">
          <cell r="D456" t="str">
            <v>25mph</v>
          </cell>
        </row>
        <row r="457">
          <cell r="D457" t="str">
            <v>30mph</v>
          </cell>
        </row>
        <row r="458">
          <cell r="D458" t="str">
            <v>35mph</v>
          </cell>
        </row>
        <row r="459">
          <cell r="D459" t="str">
            <v>40mph</v>
          </cell>
        </row>
        <row r="460">
          <cell r="D460" t="str">
            <v>45mph</v>
          </cell>
        </row>
        <row r="461">
          <cell r="D461" t="str">
            <v>50mph</v>
          </cell>
        </row>
        <row r="462">
          <cell r="D462" t="str">
            <v>55mph</v>
          </cell>
        </row>
        <row r="463">
          <cell r="D463" t="str">
            <v>60mph</v>
          </cell>
        </row>
        <row r="464">
          <cell r="D464" t="str">
            <v>65mph</v>
          </cell>
        </row>
        <row r="465">
          <cell r="D465" t="str">
            <v>70mph</v>
          </cell>
        </row>
        <row r="466">
          <cell r="D466" t="str">
            <v>75mph</v>
          </cell>
        </row>
        <row r="467">
          <cell r="D467" t="str">
            <v>80mph</v>
          </cell>
        </row>
        <row r="468">
          <cell r="D468" t="str">
            <v>85mph</v>
          </cell>
        </row>
        <row r="469">
          <cell r="D469" t="str">
            <v>≥90mph</v>
          </cell>
        </row>
        <row r="470">
          <cell r="D470" t="str">
            <v>Meets specification</v>
          </cell>
        </row>
        <row r="471">
          <cell r="D471" t="str">
            <v>Does not meet specification</v>
          </cell>
        </row>
        <row r="472">
          <cell r="D472" t="str">
            <v>1 Star</v>
          </cell>
        </row>
        <row r="473">
          <cell r="D473" t="str">
            <v>2 Star</v>
          </cell>
        </row>
        <row r="474">
          <cell r="D474" t="str">
            <v>3 Star</v>
          </cell>
        </row>
        <row r="475">
          <cell r="D475" t="str">
            <v>4 Star</v>
          </cell>
        </row>
        <row r="476">
          <cell r="D476" t="str">
            <v>5 Star</v>
          </cell>
        </row>
        <row r="477">
          <cell r="D477" t="str">
            <v>Not applicable</v>
          </cell>
        </row>
        <row r="478">
          <cell r="D478" t="str">
            <v>1 Star</v>
          </cell>
        </row>
        <row r="479">
          <cell r="D479" t="str">
            <v>2 Star</v>
          </cell>
        </row>
        <row r="480">
          <cell r="D480" t="str">
            <v>3 Star</v>
          </cell>
        </row>
        <row r="481">
          <cell r="D481" t="str">
            <v>4 Star</v>
          </cell>
        </row>
        <row r="482">
          <cell r="D482" t="str">
            <v>5 Star</v>
          </cell>
        </row>
        <row r="483">
          <cell r="D483" t="str">
            <v>Not applicable</v>
          </cell>
        </row>
        <row r="484">
          <cell r="D484" t="str">
            <v>1 Star</v>
          </cell>
        </row>
        <row r="485">
          <cell r="D485" t="str">
            <v>2 Star</v>
          </cell>
        </row>
        <row r="486">
          <cell r="D486" t="str">
            <v>3 Star</v>
          </cell>
        </row>
        <row r="487">
          <cell r="D487" t="str">
            <v>4 Star</v>
          </cell>
        </row>
        <row r="488">
          <cell r="D488" t="str">
            <v>5 Star</v>
          </cell>
        </row>
        <row r="489">
          <cell r="D489" t="str">
            <v>Not applicable</v>
          </cell>
        </row>
        <row r="490">
          <cell r="D490" t="str">
            <v>1 Star</v>
          </cell>
        </row>
        <row r="491">
          <cell r="D491" t="str">
            <v>2 Star</v>
          </cell>
        </row>
        <row r="492">
          <cell r="D492" t="str">
            <v>3 Star</v>
          </cell>
        </row>
        <row r="493">
          <cell r="D493" t="str">
            <v>4 Star</v>
          </cell>
        </row>
        <row r="494">
          <cell r="D494" t="str">
            <v>5 Star</v>
          </cell>
        </row>
        <row r="495">
          <cell r="D495" t="str">
            <v>Not applicable</v>
          </cell>
        </row>
        <row r="497">
          <cell r="D497" t="str">
            <v>School zone flashing beacons</v>
          </cell>
        </row>
        <row r="498">
          <cell r="D498" t="str">
            <v>School zone static signs or road markings</v>
          </cell>
        </row>
        <row r="499">
          <cell r="D499" t="str">
            <v>No school zone warning</v>
          </cell>
        </row>
        <row r="500">
          <cell r="D500" t="str">
            <v>Not applicable (no school at the location)</v>
          </cell>
        </row>
        <row r="501">
          <cell r="D501" t="str">
            <v>School zone crossing supervisor present at school start and finish times</v>
          </cell>
        </row>
        <row r="502">
          <cell r="D502" t="str">
            <v>School zone crossing supervisor not present</v>
          </cell>
        </row>
        <row r="503">
          <cell r="D503" t="str">
            <v>Not applicable (no school at the location)</v>
          </cell>
        </row>
      </sheetData>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0:BA16"/>
  <sheetViews>
    <sheetView workbookViewId="0">
      <selection activeCell="S29" sqref="S29"/>
    </sheetView>
  </sheetViews>
  <sheetFormatPr defaultColWidth="9.140625" defaultRowHeight="12" x14ac:dyDescent="0.25"/>
  <cols>
    <col min="1" max="16384" width="9.140625" style="9"/>
  </cols>
  <sheetData>
    <row r="10" spans="1:53" x14ac:dyDescent="0.25">
      <c r="BA10" s="9" t="s">
        <v>0</v>
      </c>
    </row>
    <row r="16" spans="1:53" x14ac:dyDescent="0.25">
      <c r="A16" s="9" t="s">
        <v>1</v>
      </c>
    </row>
  </sheetData>
  <sheetProtection algorithmName="SHA-512" hashValue="FNObmBmDKzspc2NXxmV9QIpyIrdM0kD6C9QnF1uyu/p664H7ESw+nccu9yrfe2tzHu0niXumlqoW8VrDrBI6Jg==" saltValue="GknTsbmXZXkgR/n28k9CDg=="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BD1"/>
  <sheetViews>
    <sheetView zoomScale="87" zoomScaleNormal="87" workbookViewId="0">
      <pane ySplit="1" topLeftCell="A4106" activePane="bottomLeft" state="frozen"/>
      <selection activeCell="CD268" sqref="CD268"/>
      <selection pane="bottomLeft" activeCell="A4131" sqref="A2:XFD4131"/>
    </sheetView>
  </sheetViews>
  <sheetFormatPr defaultColWidth="11.42578125" defaultRowHeight="12" x14ac:dyDescent="0.25"/>
  <cols>
    <col min="5" max="5" width="35.140625" customWidth="1"/>
    <col min="6" max="51" width="13" customWidth="1"/>
  </cols>
  <sheetData>
    <row r="1" spans="1:56" ht="213" x14ac:dyDescent="0.25">
      <c r="A1" s="16" t="s">
        <v>74</v>
      </c>
      <c r="B1" s="16" t="s">
        <v>75</v>
      </c>
      <c r="C1" s="16" t="s">
        <v>76</v>
      </c>
      <c r="D1" s="16" t="s">
        <v>73</v>
      </c>
      <c r="E1" s="16" t="s">
        <v>75</v>
      </c>
      <c r="F1" s="16" t="s">
        <v>78</v>
      </c>
      <c r="G1" s="16" t="s">
        <v>79</v>
      </c>
      <c r="H1" s="16" t="s">
        <v>80</v>
      </c>
      <c r="I1" s="16" t="s">
        <v>81</v>
      </c>
      <c r="J1" s="16" t="s">
        <v>82</v>
      </c>
      <c r="K1" s="16" t="s">
        <v>83</v>
      </c>
      <c r="L1" s="16" t="s">
        <v>84</v>
      </c>
      <c r="M1" s="16" t="s">
        <v>11</v>
      </c>
      <c r="N1" s="16" t="s">
        <v>15</v>
      </c>
      <c r="O1" s="16" t="s">
        <v>19</v>
      </c>
      <c r="P1" s="16" t="s">
        <v>23</v>
      </c>
      <c r="Q1" s="16" t="s">
        <v>26</v>
      </c>
      <c r="R1" s="16" t="s">
        <v>28</v>
      </c>
      <c r="S1" s="16" t="s">
        <v>31</v>
      </c>
      <c r="T1" s="16" t="s">
        <v>33</v>
      </c>
      <c r="U1" s="16" t="s">
        <v>35</v>
      </c>
      <c r="V1" s="16" t="s">
        <v>85</v>
      </c>
      <c r="W1" s="16" t="s">
        <v>40</v>
      </c>
      <c r="X1" s="16" t="s">
        <v>43</v>
      </c>
      <c r="Y1" s="16" t="s">
        <v>47</v>
      </c>
      <c r="Z1" s="16" t="s">
        <v>49</v>
      </c>
      <c r="AA1" s="16" t="s">
        <v>51</v>
      </c>
      <c r="AB1" s="16" t="s">
        <v>54</v>
      </c>
      <c r="AC1" s="16" t="s">
        <v>57</v>
      </c>
      <c r="AD1" s="16" t="s">
        <v>61</v>
      </c>
      <c r="AE1" s="16" t="s">
        <v>63</v>
      </c>
      <c r="AF1" s="16" t="s">
        <v>66</v>
      </c>
      <c r="AG1" s="16" t="s">
        <v>68</v>
      </c>
      <c r="AH1" s="16" t="s">
        <v>71</v>
      </c>
      <c r="AI1" s="16" t="s">
        <v>72</v>
      </c>
      <c r="AJ1" s="16" t="s">
        <v>13</v>
      </c>
      <c r="AK1" s="16" t="s">
        <v>17</v>
      </c>
      <c r="AL1" s="16" t="s">
        <v>21</v>
      </c>
      <c r="AM1" s="16" t="s">
        <v>25</v>
      </c>
      <c r="AN1" s="16" t="s">
        <v>27</v>
      </c>
      <c r="AO1" s="16" t="s">
        <v>29</v>
      </c>
      <c r="AP1" s="16" t="s">
        <v>32</v>
      </c>
      <c r="AQ1" s="16" t="s">
        <v>34</v>
      </c>
      <c r="AR1" s="16" t="s">
        <v>36</v>
      </c>
      <c r="AS1" s="16" t="s">
        <v>39</v>
      </c>
      <c r="AT1" s="16" t="s">
        <v>42</v>
      </c>
      <c r="AU1" s="16" t="s">
        <v>45</v>
      </c>
      <c r="AV1" s="16" t="s">
        <v>48</v>
      </c>
      <c r="AW1" s="16" t="s">
        <v>50</v>
      </c>
      <c r="AX1" s="16" t="s">
        <v>52</v>
      </c>
      <c r="AY1" s="16" t="s">
        <v>55</v>
      </c>
      <c r="AZ1" s="16" t="s">
        <v>58</v>
      </c>
      <c r="BA1" s="16" t="s">
        <v>62</v>
      </c>
      <c r="BB1" s="16" t="s">
        <v>64</v>
      </c>
      <c r="BC1" s="16" t="s">
        <v>67</v>
      </c>
      <c r="BD1" s="16" t="s">
        <v>362</v>
      </c>
    </row>
  </sheetData>
  <autoFilter ref="A1:BB1" xr:uid="{98072314-8EEA-B948-88A9-F76E5B3431D4}"/>
  <phoneticPr fontId="12" type="noConversion"/>
  <conditionalFormatting sqref="H1:BB1048576">
    <cfRule type="colorScale" priority="63">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11DBB-5983-2546-88D2-6F611E241F93}">
  <sheetPr codeName="Sheet3"/>
  <dimension ref="A12:L47"/>
  <sheetViews>
    <sheetView topLeftCell="A8" zoomScale="90" zoomScaleNormal="90" workbookViewId="0">
      <selection activeCell="J52" sqref="J52"/>
    </sheetView>
  </sheetViews>
  <sheetFormatPr defaultColWidth="11" defaultRowHeight="12" x14ac:dyDescent="0.25"/>
  <cols>
    <col min="1" max="1" width="11" style="9"/>
    <col min="2" max="2" width="21" style="9" customWidth="1"/>
    <col min="3" max="3" width="26" style="9" customWidth="1"/>
    <col min="4" max="4" width="5" style="9" customWidth="1"/>
    <col min="5" max="5" width="26" style="9" customWidth="1"/>
    <col min="6" max="6" width="5" style="9" customWidth="1"/>
    <col min="7" max="7" width="26" style="9" customWidth="1"/>
    <col min="8" max="8" width="5" style="9" customWidth="1"/>
    <col min="9" max="9" width="26" style="9" customWidth="1"/>
    <col min="10" max="10" width="27.42578125" style="9" bestFit="1" customWidth="1"/>
    <col min="11" max="11" width="3.140625" style="9" customWidth="1"/>
    <col min="12" max="12" width="55.42578125" style="84" bestFit="1" customWidth="1"/>
    <col min="13" max="13" width="20" style="9" bestFit="1" customWidth="1"/>
    <col min="14" max="16384" width="11" style="9"/>
  </cols>
  <sheetData>
    <row r="12" spans="10:10" ht="6" customHeight="1" x14ac:dyDescent="0.25"/>
    <row r="13" spans="10:10" ht="6" customHeight="1" x14ac:dyDescent="0.25"/>
    <row r="14" spans="10:10" ht="13.05" customHeight="1" x14ac:dyDescent="0.25"/>
    <row r="15" spans="10:10" ht="31.05" customHeight="1" x14ac:dyDescent="0.25">
      <c r="J15" s="83" t="s">
        <v>2</v>
      </c>
    </row>
    <row r="16" spans="10:10" ht="20.399999999999999" x14ac:dyDescent="0.25">
      <c r="J16" s="80">
        <f>'CycleRAP Model'!BR3</f>
        <v>39.191039999999994</v>
      </c>
    </row>
    <row r="17" spans="1:12" ht="24.6" x14ac:dyDescent="0.4">
      <c r="C17" s="77" t="s">
        <v>3</v>
      </c>
      <c r="E17" s="77" t="s">
        <v>4</v>
      </c>
      <c r="G17" s="77" t="s">
        <v>5</v>
      </c>
      <c r="I17" s="77" t="s">
        <v>6</v>
      </c>
      <c r="J17" s="80" t="str">
        <f>IF(OR(C20=4,E20=4,G20=4,I20=4),"Extreme risk",IF(OR(C20=3,E20=3,G20=3,I20=3),"High risk",IF(OR(C20=2,E20=2,G20=2,I20=2),"Medium risk","Low risk")))</f>
        <v>High risk</v>
      </c>
    </row>
    <row r="18" spans="1:12" ht="39" customHeight="1" x14ac:dyDescent="0.3">
      <c r="C18" s="79" t="s">
        <v>7</v>
      </c>
      <c r="D18" s="81"/>
      <c r="E18" s="78" t="s">
        <v>8</v>
      </c>
      <c r="F18" s="81"/>
      <c r="G18" s="79" t="s">
        <v>9</v>
      </c>
      <c r="H18" s="81"/>
      <c r="I18" s="82" t="s">
        <v>10</v>
      </c>
    </row>
    <row r="19" spans="1:12" ht="30" customHeight="1" x14ac:dyDescent="0.25">
      <c r="C19" s="80">
        <f>'CycleRAP Model'!BU26</f>
        <v>0</v>
      </c>
      <c r="E19" s="80">
        <f>'CycleRAP Model'!BU3</f>
        <v>8.3980799999999984</v>
      </c>
      <c r="G19" s="80">
        <f>'CycleRAP Model'!BU8</f>
        <v>16.796159999999997</v>
      </c>
      <c r="I19" s="80">
        <f>'CycleRAP Model'!BU16</f>
        <v>13.996799999999999</v>
      </c>
    </row>
    <row r="20" spans="1:12" ht="13.95" customHeight="1" x14ac:dyDescent="0.25">
      <c r="C20" s="89">
        <f>IF(C19&lt;=10,1,IF(AND(C19&gt;10,C19&lt;=25),2,IF(AND(C19&gt;25,C19&lt;=60),3,4)))</f>
        <v>1</v>
      </c>
      <c r="D20" s="90"/>
      <c r="E20" s="89">
        <f>IF(E19&lt;=5,1,IF(AND(E19&gt;5,E19&lt;=10),2,IF(AND(E19&gt;10,E19&lt;=20),3,4)))</f>
        <v>2</v>
      </c>
      <c r="F20" s="90"/>
      <c r="G20" s="89">
        <f>IF(G19&lt;=5,1,IF(AND(G19&gt;5,G19&lt;=10),2,IF(AND(G19&gt;10,G19&lt;=20),3,4)))</f>
        <v>3</v>
      </c>
      <c r="H20" s="90"/>
      <c r="I20" s="89">
        <f>IF(I19&lt;=5,1,IF(AND(I19&gt;5,I19&lt;=10),2,IF(AND(I19&gt;10,I19&lt;=20),3,4)))</f>
        <v>3</v>
      </c>
    </row>
    <row r="22" spans="1:12" ht="15" x14ac:dyDescent="0.25">
      <c r="A22" s="76"/>
      <c r="B22" s="321" t="s">
        <v>11</v>
      </c>
      <c r="C22" s="322"/>
      <c r="D22" s="323"/>
      <c r="E22" s="85" t="s">
        <v>12</v>
      </c>
      <c r="F22" s="75"/>
      <c r="G22" s="321" t="s">
        <v>13</v>
      </c>
      <c r="H22" s="322"/>
      <c r="I22" s="323"/>
      <c r="J22" s="85" t="s">
        <v>204</v>
      </c>
      <c r="K22" s="75"/>
    </row>
    <row r="23" spans="1:12" ht="15" x14ac:dyDescent="0.25">
      <c r="A23" s="76"/>
      <c r="B23" s="321" t="s">
        <v>15</v>
      </c>
      <c r="C23" s="322"/>
      <c r="D23" s="323"/>
      <c r="E23" s="85" t="s">
        <v>157</v>
      </c>
      <c r="F23" s="75"/>
      <c r="G23" s="321" t="s">
        <v>17</v>
      </c>
      <c r="H23" s="322"/>
      <c r="I23" s="323"/>
      <c r="J23" s="85" t="s">
        <v>207</v>
      </c>
      <c r="K23" s="75"/>
    </row>
    <row r="24" spans="1:12" ht="15" x14ac:dyDescent="0.25">
      <c r="A24" s="76"/>
      <c r="B24" s="91" t="s">
        <v>19</v>
      </c>
      <c r="C24" s="92"/>
      <c r="D24" s="93"/>
      <c r="E24" s="85" t="s">
        <v>20</v>
      </c>
      <c r="F24" s="75"/>
      <c r="G24" s="321" t="s">
        <v>21</v>
      </c>
      <c r="H24" s="322"/>
      <c r="I24" s="323"/>
      <c r="J24" s="85" t="s">
        <v>24</v>
      </c>
      <c r="K24" s="75"/>
    </row>
    <row r="25" spans="1:12" ht="15" x14ac:dyDescent="0.25">
      <c r="A25" s="76"/>
      <c r="B25" s="91" t="s">
        <v>23</v>
      </c>
      <c r="C25" s="92"/>
      <c r="D25" s="93"/>
      <c r="E25" s="85" t="s">
        <v>22</v>
      </c>
      <c r="F25" s="75"/>
      <c r="G25" s="321" t="s">
        <v>25</v>
      </c>
      <c r="H25" s="322"/>
      <c r="I25" s="323"/>
      <c r="J25" s="85" t="s">
        <v>22</v>
      </c>
      <c r="K25" s="75"/>
    </row>
    <row r="26" spans="1:12" ht="15" x14ac:dyDescent="0.25">
      <c r="A26" s="76"/>
      <c r="B26" s="91" t="s">
        <v>26</v>
      </c>
      <c r="C26" s="92"/>
      <c r="D26" s="93"/>
      <c r="E26" s="85" t="s">
        <v>22</v>
      </c>
      <c r="F26" s="75"/>
      <c r="G26" s="321" t="s">
        <v>27</v>
      </c>
      <c r="H26" s="322"/>
      <c r="I26" s="323"/>
      <c r="J26" s="85" t="s">
        <v>22</v>
      </c>
      <c r="K26" s="75"/>
    </row>
    <row r="27" spans="1:12" ht="15" x14ac:dyDescent="0.25">
      <c r="A27" s="76"/>
      <c r="B27" s="91" t="s">
        <v>28</v>
      </c>
      <c r="C27" s="92"/>
      <c r="D27" s="93"/>
      <c r="E27" s="85" t="s">
        <v>22</v>
      </c>
      <c r="F27" s="75"/>
      <c r="G27" s="321" t="s">
        <v>29</v>
      </c>
      <c r="H27" s="322"/>
      <c r="I27" s="323"/>
      <c r="J27" s="85" t="s">
        <v>213</v>
      </c>
      <c r="K27" s="75"/>
    </row>
    <row r="28" spans="1:12" ht="15" x14ac:dyDescent="0.25">
      <c r="A28" s="76"/>
      <c r="B28" s="91" t="s">
        <v>31</v>
      </c>
      <c r="C28" s="92"/>
      <c r="D28" s="93"/>
      <c r="E28" s="85" t="s">
        <v>22</v>
      </c>
      <c r="F28" s="75"/>
      <c r="G28" s="321" t="s">
        <v>32</v>
      </c>
      <c r="H28" s="322"/>
      <c r="I28" s="323"/>
      <c r="J28" s="85" t="s">
        <v>22</v>
      </c>
      <c r="K28" s="75"/>
    </row>
    <row r="29" spans="1:12" ht="15" x14ac:dyDescent="0.25">
      <c r="A29" s="76"/>
      <c r="B29" s="91" t="s">
        <v>33</v>
      </c>
      <c r="C29" s="92"/>
      <c r="D29" s="93"/>
      <c r="E29" s="85" t="s">
        <v>22</v>
      </c>
      <c r="F29" s="75"/>
      <c r="G29" s="321" t="s">
        <v>34</v>
      </c>
      <c r="H29" s="322"/>
      <c r="I29" s="323"/>
      <c r="J29" s="85" t="s">
        <v>216</v>
      </c>
      <c r="K29" s="75"/>
    </row>
    <row r="30" spans="1:12" ht="15" x14ac:dyDescent="0.25">
      <c r="A30" s="76"/>
      <c r="B30" s="91" t="s">
        <v>35</v>
      </c>
      <c r="C30" s="92"/>
      <c r="D30" s="93"/>
      <c r="E30" s="85" t="s">
        <v>24</v>
      </c>
      <c r="F30" s="75"/>
      <c r="G30" s="321" t="s">
        <v>36</v>
      </c>
      <c r="H30" s="322"/>
      <c r="I30" s="323"/>
      <c r="J30" s="85" t="s">
        <v>221</v>
      </c>
      <c r="K30" s="75"/>
      <c r="L30"/>
    </row>
    <row r="31" spans="1:12" ht="15" x14ac:dyDescent="0.25">
      <c r="A31" s="76"/>
      <c r="B31" s="91" t="s">
        <v>38</v>
      </c>
      <c r="C31" s="92"/>
      <c r="D31" s="93"/>
      <c r="E31" s="85" t="s">
        <v>24</v>
      </c>
      <c r="F31" s="75"/>
      <c r="G31" s="321" t="s">
        <v>39</v>
      </c>
      <c r="H31" s="322"/>
      <c r="I31" s="323"/>
      <c r="J31" s="85" t="s">
        <v>221</v>
      </c>
      <c r="K31" s="75"/>
    </row>
    <row r="32" spans="1:12" ht="15" x14ac:dyDescent="0.25">
      <c r="A32" s="76"/>
      <c r="B32" s="91" t="s">
        <v>40</v>
      </c>
      <c r="C32" s="92"/>
      <c r="D32" s="93"/>
      <c r="E32" s="85" t="s">
        <v>184</v>
      </c>
      <c r="G32" s="321" t="s">
        <v>42</v>
      </c>
      <c r="H32" s="322"/>
      <c r="I32" s="323"/>
      <c r="J32" s="85" t="s">
        <v>22</v>
      </c>
    </row>
    <row r="33" spans="1:12" ht="15" x14ac:dyDescent="0.25">
      <c r="A33" s="76"/>
      <c r="B33" s="91" t="s">
        <v>43</v>
      </c>
      <c r="C33" s="92"/>
      <c r="D33" s="93"/>
      <c r="E33" s="85" t="s">
        <v>44</v>
      </c>
      <c r="G33" s="321" t="s">
        <v>45</v>
      </c>
      <c r="H33" s="322"/>
      <c r="I33" s="323"/>
      <c r="J33" s="85" t="s">
        <v>103</v>
      </c>
    </row>
    <row r="34" spans="1:12" ht="15" x14ac:dyDescent="0.25">
      <c r="A34" s="76"/>
      <c r="B34" s="91" t="s">
        <v>47</v>
      </c>
      <c r="C34" s="92"/>
      <c r="D34" s="93"/>
      <c r="E34" s="85" t="s">
        <v>22</v>
      </c>
      <c r="G34" s="321" t="s">
        <v>48</v>
      </c>
      <c r="H34" s="322"/>
      <c r="I34" s="323"/>
      <c r="J34" s="85" t="s">
        <v>46</v>
      </c>
    </row>
    <row r="35" spans="1:12" ht="15" x14ac:dyDescent="0.25">
      <c r="A35" s="76"/>
      <c r="B35" s="91" t="s">
        <v>49</v>
      </c>
      <c r="C35" s="92"/>
      <c r="D35" s="93"/>
      <c r="E35" s="85" t="s">
        <v>22</v>
      </c>
      <c r="G35" s="321" t="s">
        <v>50</v>
      </c>
      <c r="H35" s="322"/>
      <c r="I35" s="323"/>
      <c r="J35" s="85" t="s">
        <v>103</v>
      </c>
    </row>
    <row r="36" spans="1:12" ht="15" x14ac:dyDescent="0.25">
      <c r="A36" s="76"/>
      <c r="B36" s="91" t="s">
        <v>51</v>
      </c>
      <c r="C36" s="92"/>
      <c r="D36" s="93"/>
      <c r="E36" s="85" t="s">
        <v>22</v>
      </c>
      <c r="G36" s="321" t="s">
        <v>52</v>
      </c>
      <c r="H36" s="322"/>
      <c r="I36" s="323"/>
      <c r="J36" s="85" t="s">
        <v>232</v>
      </c>
    </row>
    <row r="37" spans="1:12" ht="15" x14ac:dyDescent="0.25">
      <c r="A37" s="76"/>
      <c r="B37" s="91" t="s">
        <v>54</v>
      </c>
      <c r="C37" s="92"/>
      <c r="D37" s="93"/>
      <c r="E37" s="85" t="s">
        <v>22</v>
      </c>
      <c r="G37" s="321" t="s">
        <v>55</v>
      </c>
      <c r="H37" s="322"/>
      <c r="I37" s="323"/>
      <c r="J37" s="85" t="s">
        <v>234</v>
      </c>
    </row>
    <row r="38" spans="1:12" ht="15" x14ac:dyDescent="0.25">
      <c r="A38" s="76"/>
      <c r="B38" s="91" t="s">
        <v>57</v>
      </c>
      <c r="C38" s="92"/>
      <c r="D38" s="93"/>
      <c r="E38" s="85" t="s">
        <v>22</v>
      </c>
      <c r="G38" s="321" t="s">
        <v>58</v>
      </c>
      <c r="H38" s="322"/>
      <c r="I38" s="323"/>
      <c r="J38" s="107">
        <v>1500</v>
      </c>
      <c r="K38" s="84" t="s">
        <v>59</v>
      </c>
      <c r="L38" s="84" t="s">
        <v>60</v>
      </c>
    </row>
    <row r="39" spans="1:12" ht="15" x14ac:dyDescent="0.25">
      <c r="A39" s="76"/>
      <c r="B39" s="91" t="s">
        <v>61</v>
      </c>
      <c r="C39" s="92"/>
      <c r="D39" s="93"/>
      <c r="E39" s="85" t="s">
        <v>22</v>
      </c>
      <c r="G39" s="321" t="s">
        <v>62</v>
      </c>
      <c r="H39" s="322"/>
      <c r="I39" s="323"/>
      <c r="J39" s="85" t="s">
        <v>236</v>
      </c>
      <c r="K39" s="84"/>
    </row>
    <row r="40" spans="1:12" ht="15" x14ac:dyDescent="0.25">
      <c r="A40" s="76"/>
      <c r="B40" s="91" t="s">
        <v>63</v>
      </c>
      <c r="C40" s="92"/>
      <c r="D40" s="93"/>
      <c r="E40" s="85" t="s">
        <v>24</v>
      </c>
      <c r="G40" s="321" t="s">
        <v>64</v>
      </c>
      <c r="H40" s="322"/>
      <c r="I40" s="323"/>
      <c r="J40" s="107">
        <v>30</v>
      </c>
      <c r="K40" s="84" t="s">
        <v>59</v>
      </c>
      <c r="L40" s="84" t="s">
        <v>65</v>
      </c>
    </row>
    <row r="41" spans="1:12" ht="15" x14ac:dyDescent="0.25">
      <c r="A41" s="76"/>
      <c r="B41" s="91" t="s">
        <v>66</v>
      </c>
      <c r="C41" s="92"/>
      <c r="D41" s="93"/>
      <c r="E41" s="85" t="s">
        <v>22</v>
      </c>
      <c r="G41" s="321" t="s">
        <v>67</v>
      </c>
      <c r="H41" s="322"/>
      <c r="I41" s="323"/>
      <c r="J41" s="107">
        <v>30</v>
      </c>
      <c r="K41" s="84" t="s">
        <v>59</v>
      </c>
      <c r="L41" s="84" t="s">
        <v>60</v>
      </c>
    </row>
    <row r="42" spans="1:12" ht="15" x14ac:dyDescent="0.25">
      <c r="B42" s="91" t="s">
        <v>68</v>
      </c>
      <c r="C42" s="92"/>
      <c r="D42" s="93"/>
      <c r="E42" s="85" t="s">
        <v>22</v>
      </c>
      <c r="G42" s="321" t="s">
        <v>69</v>
      </c>
      <c r="H42" s="322"/>
      <c r="I42" s="323"/>
      <c r="J42" s="107" t="s">
        <v>258</v>
      </c>
      <c r="K42" s="84" t="s">
        <v>59</v>
      </c>
      <c r="L42" s="84" t="s">
        <v>60</v>
      </c>
    </row>
    <row r="43" spans="1:12" ht="15" x14ac:dyDescent="0.25">
      <c r="B43" s="91" t="s">
        <v>71</v>
      </c>
      <c r="C43" s="92"/>
      <c r="D43" s="93"/>
      <c r="E43" s="85" t="s">
        <v>22</v>
      </c>
      <c r="G43" s="321" t="str">
        <f>'Upload spec'!D10</f>
        <v>GPS coordinates – start</v>
      </c>
      <c r="H43" s="322"/>
      <c r="I43" s="323"/>
      <c r="J43" s="107"/>
      <c r="K43" s="84" t="s">
        <v>59</v>
      </c>
      <c r="L43" s="84" t="s">
        <v>60</v>
      </c>
    </row>
    <row r="44" spans="1:12" ht="15" x14ac:dyDescent="0.25">
      <c r="B44" s="91" t="s">
        <v>72</v>
      </c>
      <c r="C44" s="92"/>
      <c r="D44" s="93"/>
      <c r="E44" s="85" t="s">
        <v>22</v>
      </c>
      <c r="G44" s="91" t="str">
        <f>'Upload spec'!D11</f>
        <v>GPS coordinates – start</v>
      </c>
      <c r="H44" s="92"/>
      <c r="I44" s="93"/>
      <c r="J44" s="107"/>
      <c r="K44" s="84" t="s">
        <v>59</v>
      </c>
      <c r="L44" s="84" t="s">
        <v>60</v>
      </c>
    </row>
    <row r="45" spans="1:12" ht="15" x14ac:dyDescent="0.25">
      <c r="G45" s="91" t="str">
        <f>'Upload spec'!D12</f>
        <v>GPS coordinates – end</v>
      </c>
      <c r="H45" s="92"/>
      <c r="I45" s="93"/>
      <c r="J45" s="107"/>
      <c r="K45" s="84" t="s">
        <v>59</v>
      </c>
      <c r="L45" s="84" t="s">
        <v>60</v>
      </c>
    </row>
    <row r="46" spans="1:12" ht="15" x14ac:dyDescent="0.25">
      <c r="G46" s="91" t="str">
        <f>'Upload spec'!D13</f>
        <v>GPS coordinates – end</v>
      </c>
      <c r="H46" s="92"/>
      <c r="I46" s="93"/>
      <c r="J46" s="107"/>
    </row>
    <row r="47" spans="1:12" ht="15" x14ac:dyDescent="0.25">
      <c r="G47" s="91" t="s">
        <v>73</v>
      </c>
      <c r="H47" s="92"/>
      <c r="I47" s="93"/>
      <c r="J47" s="136"/>
    </row>
  </sheetData>
  <mergeCells count="24">
    <mergeCell ref="G38:I38"/>
    <mergeCell ref="G39:I39"/>
    <mergeCell ref="G29:I29"/>
    <mergeCell ref="G27:I27"/>
    <mergeCell ref="G28:I28"/>
    <mergeCell ref="G35:I35"/>
    <mergeCell ref="G36:I36"/>
    <mergeCell ref="G37:I37"/>
    <mergeCell ref="G43:I43"/>
    <mergeCell ref="B22:D22"/>
    <mergeCell ref="B23:D23"/>
    <mergeCell ref="G22:I22"/>
    <mergeCell ref="G23:I23"/>
    <mergeCell ref="G24:I24"/>
    <mergeCell ref="G25:I25"/>
    <mergeCell ref="G42:I42"/>
    <mergeCell ref="G26:I26"/>
    <mergeCell ref="G41:I41"/>
    <mergeCell ref="G30:I30"/>
    <mergeCell ref="G31:I31"/>
    <mergeCell ref="G32:I32"/>
    <mergeCell ref="G33:I33"/>
    <mergeCell ref="G34:I34"/>
    <mergeCell ref="G40:I40"/>
  </mergeCells>
  <conditionalFormatting sqref="J25:J26 J28 J32 E25:E29">
    <cfRule type="notContainsText" dxfId="68" priority="41" operator="notContains" text="Not">
      <formula>ISERROR(SEARCH("Not",E25))</formula>
    </cfRule>
  </conditionalFormatting>
  <conditionalFormatting sqref="J30:J31 J27">
    <cfRule type="notContainsText" dxfId="67" priority="40" operator="notContains" text="NA">
      <formula>ISERROR(SEARCH("NA",J27))</formula>
    </cfRule>
  </conditionalFormatting>
  <conditionalFormatting sqref="E24">
    <cfRule type="containsText" dxfId="66" priority="39" operator="containsText" text="in">
      <formula>NOT(ISERROR(SEARCH("in",E24)))</formula>
    </cfRule>
  </conditionalFormatting>
  <conditionalFormatting sqref="J36:J37">
    <cfRule type="notContainsText" dxfId="65" priority="38" operator="notContains" text="&lt;">
      <formula>ISERROR(SEARCH("&lt;",J36))</formula>
    </cfRule>
  </conditionalFormatting>
  <conditionalFormatting sqref="J38 J40:J47">
    <cfRule type="containsText" dxfId="64" priority="37" stopIfTrue="1" operator="containsText" text="mph">
      <formula>NOT(ISERROR(SEARCH("mph",J38)))</formula>
    </cfRule>
  </conditionalFormatting>
  <conditionalFormatting sqref="J33:J35 J39">
    <cfRule type="notContainsText" dxfId="63" priority="36" operator="notContains" text="low">
      <formula>ISERROR(SEARCH("low",J33))</formula>
    </cfRule>
  </conditionalFormatting>
  <conditionalFormatting sqref="J23">
    <cfRule type="notContainsText" dxfId="62" priority="35" operator="notContains" text="no">
      <formula>ISERROR(SEARCH("no",J23))</formula>
    </cfRule>
  </conditionalFormatting>
  <conditionalFormatting sqref="J22">
    <cfRule type="notContainsText" dxfId="61" priority="34" operator="notContains" text="&lt;">
      <formula>ISERROR(SEARCH("&lt;",J22))</formula>
    </cfRule>
  </conditionalFormatting>
  <conditionalFormatting sqref="E19 G19 I19">
    <cfRule type="cellIs" dxfId="60" priority="12" stopIfTrue="1" operator="lessThan">
      <formula>5</formula>
    </cfRule>
  </conditionalFormatting>
  <conditionalFormatting sqref="J24">
    <cfRule type="notContainsText" dxfId="59" priority="28" operator="notContains" text="not">
      <formula>ISERROR(SEARCH("not",J24))</formula>
    </cfRule>
  </conditionalFormatting>
  <conditionalFormatting sqref="I19 G19 E19">
    <cfRule type="cellIs" dxfId="58" priority="29" stopIfTrue="1" operator="between">
      <formula>5</formula>
      <formula>10</formula>
    </cfRule>
    <cfRule type="cellIs" dxfId="57" priority="42" stopIfTrue="1" operator="between">
      <formula>10</formula>
      <formula>20</formula>
    </cfRule>
    <cfRule type="cellIs" dxfId="56" priority="43" stopIfTrue="1" operator="greaterThan">
      <formula>20</formula>
    </cfRule>
  </conditionalFormatting>
  <conditionalFormatting sqref="J17">
    <cfRule type="containsText" dxfId="55" priority="7" operator="containsText" text="Extreme risk">
      <formula>NOT(ISERROR(SEARCH("Extreme risk",J17)))</formula>
    </cfRule>
    <cfRule type="containsText" dxfId="54" priority="24" operator="containsText" text="Medium risk">
      <formula>NOT(ISERROR(SEARCH("Medium risk",J17)))</formula>
    </cfRule>
    <cfRule type="containsText" dxfId="53" priority="25" operator="containsText" text="Low risk">
      <formula>NOT(ISERROR(SEARCH("Low risk",J17)))</formula>
    </cfRule>
    <cfRule type="containsText" dxfId="52" priority="26" operator="containsText" text="High risk">
      <formula>NOT(ISERROR(SEARCH("High risk",J17)))</formula>
    </cfRule>
  </conditionalFormatting>
  <conditionalFormatting sqref="J16">
    <cfRule type="containsText" dxfId="51" priority="21" operator="containsText" text="Medium risk">
      <formula>NOT(ISERROR(SEARCH("Medium risk",J16)))</formula>
    </cfRule>
    <cfRule type="containsText" dxfId="50" priority="22" operator="containsText" text="Low risk">
      <formula>NOT(ISERROR(SEARCH("Low risk",J16)))</formula>
    </cfRule>
    <cfRule type="containsText" dxfId="49" priority="23" operator="containsText" text="High risk">
      <formula>NOT(ISERROR(SEARCH("High risk",J16)))</formula>
    </cfRule>
  </conditionalFormatting>
  <conditionalFormatting sqref="E34:E44">
    <cfRule type="notContainsText" dxfId="48" priority="16" operator="notContains" text="Not">
      <formula>ISERROR(SEARCH("Not",E34))</formula>
    </cfRule>
  </conditionalFormatting>
  <conditionalFormatting sqref="E33">
    <cfRule type="notContainsText" dxfId="47" priority="14" operator="notContains" text="one">
      <formula>ISERROR(SEARCH("one",E33))</formula>
    </cfRule>
  </conditionalFormatting>
  <conditionalFormatting sqref="C19">
    <cfRule type="cellIs" dxfId="46" priority="8" operator="greaterThan">
      <formula>60</formula>
    </cfRule>
    <cfRule type="cellIs" dxfId="45" priority="9" operator="between">
      <formula>25</formula>
      <formula>60</formula>
    </cfRule>
    <cfRule type="cellIs" dxfId="44" priority="10" operator="between">
      <formula>10</formula>
      <formula>25</formula>
    </cfRule>
    <cfRule type="cellIs" dxfId="43" priority="11" operator="lessThan">
      <formula>10</formula>
    </cfRule>
  </conditionalFormatting>
  <conditionalFormatting sqref="E31">
    <cfRule type="notContainsText" dxfId="42" priority="3" operator="notContains" text="not">
      <formula>ISERROR(SEARCH("not",E31))</formula>
    </cfRule>
  </conditionalFormatting>
  <conditionalFormatting sqref="E30">
    <cfRule type="notContainsText" dxfId="41" priority="2" operator="notContains" text="not">
      <formula>ISERROR(SEARCH("not",E30))</formula>
    </cfRule>
  </conditionalFormatting>
  <conditionalFormatting sqref="J29">
    <cfRule type="notContainsText" dxfId="40" priority="1" operator="notContains" text="not">
      <formula>ISERROR(SEARCH("not",J29))</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notContainsText" priority="15" operator="notContains" id="{58AE44D7-E021-AE42-8832-C6721F143F5E}">
            <xm:f>ISERROR(SEARCH("=",E32))</xm:f>
            <xm:f>"="</xm:f>
            <x14:dxf>
              <font>
                <color rgb="FF9C0006"/>
              </font>
            </x14:dxf>
          </x14:cfRule>
          <xm:sqref>E32</xm:sqref>
        </x14:conditionalFormatting>
      </x14:conditionalFormattings>
    </ext>
    <ext xmlns:x14="http://schemas.microsoft.com/office/spreadsheetml/2009/9/main" uri="{CCE6A557-97BC-4b89-ADB6-D9C93CAAB3DF}">
      <x14:dataValidations xmlns:xm="http://schemas.microsoft.com/office/excel/2006/main" count="35">
        <x14:dataValidation type="list" allowBlank="1" showInputMessage="1" showErrorMessage="1" xr:uid="{DBA56274-732D-1D40-A493-8FA9D0A87800}">
          <x14:formula1>
            <xm:f>'CycleRAP Model'!$G$80:$G$81</xm:f>
          </x14:formula1>
          <xm:sqref>J28</xm:sqref>
        </x14:dataValidation>
        <x14:dataValidation type="list" allowBlank="1" showInputMessage="1" showErrorMessage="1" xr:uid="{EDCE64AA-F291-D347-871F-05B12647C54F}">
          <x14:formula1>
            <xm:f>'CycleRAP Model'!$G$76:$G$77</xm:f>
          </x14:formula1>
          <xm:sqref>J26</xm:sqref>
        </x14:dataValidation>
        <x14:dataValidation type="list" allowBlank="1" showInputMessage="1" showErrorMessage="1" xr:uid="{E7C9F6A4-6B87-694B-AA7F-98355C5B0011}">
          <x14:formula1>
            <xm:f>'CycleRAP Model'!$G$74:$G$75</xm:f>
          </x14:formula1>
          <xm:sqref>J25</xm:sqref>
        </x14:dataValidation>
        <x14:dataValidation type="list" allowBlank="1" showInputMessage="1" showErrorMessage="1" xr:uid="{371521F6-2D6B-6243-99C4-3750EEE2C138}">
          <x14:formula1>
            <xm:f>'CycleRAP Model'!$G$72:$G$73</xm:f>
          </x14:formula1>
          <xm:sqref>J24</xm:sqref>
        </x14:dataValidation>
        <x14:dataValidation type="list" allowBlank="1" showInputMessage="1" showErrorMessage="1" xr:uid="{EDBF4E28-8DFC-7943-9F07-FA8ED933265E}">
          <x14:formula1>
            <xm:f>'CycleRAP Model'!$G$88:$G$89</xm:f>
          </x14:formula1>
          <xm:sqref>J32</xm:sqref>
        </x14:dataValidation>
        <x14:dataValidation type="list" allowBlank="1" showInputMessage="1" showErrorMessage="1" xr:uid="{19A8C733-DEE6-D344-AEAC-66CA650CDAC4}">
          <x14:formula1>
            <xm:f>'CycleRAP Model'!$G$90:$G$92</xm:f>
          </x14:formula1>
          <xm:sqref>J33</xm:sqref>
        </x14:dataValidation>
        <x14:dataValidation type="list" allowBlank="1" showInputMessage="1" showErrorMessage="1" xr:uid="{1430AAB4-DDE7-444C-8BA4-0E3D5628B0A2}">
          <x14:formula1>
            <xm:f>'CycleRAP Model'!$G$93:$G$94</xm:f>
          </x14:formula1>
          <xm:sqref>J34</xm:sqref>
        </x14:dataValidation>
        <x14:dataValidation type="list" allowBlank="1" showInputMessage="1" showErrorMessage="1" xr:uid="{4132A563-76E0-FD4B-9FB1-59BE271DF5A2}">
          <x14:formula1>
            <xm:f>'CycleRAP Model'!$G$95:$G$96</xm:f>
          </x14:formula1>
          <xm:sqref>J35</xm:sqref>
        </x14:dataValidation>
        <x14:dataValidation type="list" allowBlank="1" showInputMessage="1" showErrorMessage="1" xr:uid="{63BF337C-CBDC-4F46-A0CF-7EA562902246}">
          <x14:formula1>
            <xm:f>'CycleRAP Model'!$G$97:$G$98</xm:f>
          </x14:formula1>
          <xm:sqref>J36</xm:sqref>
        </x14:dataValidation>
        <x14:dataValidation type="list" allowBlank="1" showInputMessage="1" showErrorMessage="1" xr:uid="{1845C6F2-434A-9242-9E3C-62DD6DCFD034}">
          <x14:formula1>
            <xm:f>'CycleRAP Model'!$G$99:$G$100</xm:f>
          </x14:formula1>
          <xm:sqref>J37</xm:sqref>
        </x14:dataValidation>
        <x14:dataValidation type="list" allowBlank="1" showInputMessage="1" showErrorMessage="1" xr:uid="{F06D0858-31F3-1D45-BCE7-E50278E84DDA}">
          <x14:formula1>
            <xm:f>'CycleRAP Model'!$G$102:$G$103</xm:f>
          </x14:formula1>
          <xm:sqref>J39</xm:sqref>
        </x14:dataValidation>
        <x14:dataValidation type="list" allowBlank="1" showInputMessage="1" showErrorMessage="1" xr:uid="{6FAC1061-8F2F-C946-AFEF-1635BAF3075A}">
          <x14:formula1>
            <xm:f>'CycleRAP Model'!$G$82:$G$83</xm:f>
          </x14:formula1>
          <xm:sqref>J29</xm:sqref>
        </x14:dataValidation>
        <x14:dataValidation type="list" allowBlank="1" showInputMessage="1" showErrorMessage="1" xr:uid="{4F70FE89-781B-4C45-9F63-08672607AB27}">
          <x14:formula1>
            <xm:f>'CycleRAP Model'!$G$68:$G$69</xm:f>
          </x14:formula1>
          <xm:sqref>J22</xm:sqref>
        </x14:dataValidation>
        <x14:dataValidation type="list" allowBlank="1" showInputMessage="1" showErrorMessage="1" xr:uid="{A6C25F28-680B-5F4A-9A03-7E06DB09FE0C}">
          <x14:formula1>
            <xm:f>'CycleRAP Model'!$G$70:$G$71</xm:f>
          </x14:formula1>
          <xm:sqref>J23</xm:sqref>
        </x14:dataValidation>
        <x14:dataValidation type="list" allowBlank="1" showInputMessage="1" showErrorMessage="1" xr:uid="{FB30638E-8711-F34E-9131-1EB306309A11}">
          <x14:formula1>
            <xm:f>'CycleRAP Model'!$G$78:$G$79</xm:f>
          </x14:formula1>
          <xm:sqref>J27</xm:sqref>
        </x14:dataValidation>
        <x14:dataValidation type="list" allowBlank="1" showInputMessage="1" showErrorMessage="1" xr:uid="{4982B890-0FA7-EC44-8B5F-2E3D3EEDBCBC}">
          <x14:formula1>
            <xm:f>'CycleRAP Model'!$G$84:$G$85</xm:f>
          </x14:formula1>
          <xm:sqref>J30</xm:sqref>
        </x14:dataValidation>
        <x14:dataValidation type="list" allowBlank="1" showInputMessage="1" showErrorMessage="1" xr:uid="{71FD597D-BDAF-5C41-9497-9C3059CB90ED}">
          <x14:formula1>
            <xm:f>'CycleRAP Model'!$G$86:$G$87</xm:f>
          </x14:formula1>
          <xm:sqref>J31</xm:sqref>
        </x14:dataValidation>
        <x14:dataValidation type="list" allowBlank="1" showInputMessage="1" showErrorMessage="1" xr:uid="{ABBE38AA-D326-654C-B8AB-F167197AD0B0}">
          <x14:formula1>
            <xm:f>'CycleRAP Model'!$G$27:$G$28</xm:f>
          </x14:formula1>
          <xm:sqref>E25:E29</xm:sqref>
        </x14:dataValidation>
        <x14:dataValidation type="list" allowBlank="1" showInputMessage="1" showErrorMessage="1" xr:uid="{FA3DC226-653D-464F-9BB4-F8DB6841B318}">
          <x14:formula1>
            <xm:f>'CycleRAP Model'!$G$25:$G$26</xm:f>
          </x14:formula1>
          <xm:sqref>E24</xm:sqref>
        </x14:dataValidation>
        <x14:dataValidation type="list" allowBlank="1" showInputMessage="1" showErrorMessage="1" xr:uid="{49775D56-9909-BD4B-A08C-BEFAAEB3C08E}">
          <x14:formula1>
            <xm:f>'CycleRAP Model'!$G$37:$G$38</xm:f>
          </x14:formula1>
          <xm:sqref>E30</xm:sqref>
        </x14:dataValidation>
        <x14:dataValidation type="list" allowBlank="1" showInputMessage="1" showErrorMessage="1" xr:uid="{B21D03A6-022D-1845-A327-6556592EB7E9}">
          <x14:formula1>
            <xm:f>'CycleRAP Model'!$G$41:$G$43</xm:f>
          </x14:formula1>
          <xm:sqref>E32</xm:sqref>
        </x14:dataValidation>
        <x14:dataValidation type="list" allowBlank="1" showInputMessage="1" showErrorMessage="1" xr:uid="{0774D095-2BDE-754F-9778-B3884ACAC6A1}">
          <x14:formula1>
            <xm:f>'CycleRAP Model'!$G$19:$G$24</xm:f>
          </x14:formula1>
          <xm:sqref>E23</xm:sqref>
        </x14:dataValidation>
        <x14:dataValidation type="list" allowBlank="1" showInputMessage="1" showErrorMessage="1" xr:uid="{7E6460ED-F7B6-344C-BED2-11E95AA28939}">
          <x14:formula1>
            <xm:f>'CycleRAP Model'!$G$44:$G$45</xm:f>
          </x14:formula1>
          <xm:sqref>E33</xm:sqref>
        </x14:dataValidation>
        <x14:dataValidation type="list" allowBlank="1" showInputMessage="1" showErrorMessage="1" xr:uid="{EE5275B1-6A5A-0046-A984-A32A666E7A8F}">
          <x14:formula1>
            <xm:f>'CycleRAP Model'!$G$66:$G$67</xm:f>
          </x14:formula1>
          <xm:sqref>E44</xm:sqref>
        </x14:dataValidation>
        <x14:dataValidation type="list" allowBlank="1" showInputMessage="1" showErrorMessage="1" xr:uid="{23FB3D84-E094-624C-BED3-99FFBD30B356}">
          <x14:formula1>
            <xm:f>'CycleRAP Model'!$G$64:$G$65</xm:f>
          </x14:formula1>
          <xm:sqref>E43</xm:sqref>
        </x14:dataValidation>
        <x14:dataValidation type="list" allowBlank="1" showInputMessage="1" showErrorMessage="1" xr:uid="{F784B58D-817C-E14E-A41F-A6E430A5A882}">
          <x14:formula1>
            <xm:f>'CycleRAP Model'!$G$62:$G$63</xm:f>
          </x14:formula1>
          <xm:sqref>E42</xm:sqref>
        </x14:dataValidation>
        <x14:dataValidation type="list" allowBlank="1" showInputMessage="1" showErrorMessage="1" xr:uid="{6C5AFDE5-DE74-6546-AD21-EFAAFD62D56F}">
          <x14:formula1>
            <xm:f>'CycleRAP Model'!$G$50:$G$51</xm:f>
          </x14:formula1>
          <xm:sqref>E41 E36</xm:sqref>
        </x14:dataValidation>
        <x14:dataValidation type="list" allowBlank="1" showInputMessage="1" showErrorMessage="1" xr:uid="{D28B9480-53EB-824C-BB70-E86A3F7577B0}">
          <x14:formula1>
            <xm:f>'CycleRAP Model'!$G$48:$G$49</xm:f>
          </x14:formula1>
          <xm:sqref>E40 E35</xm:sqref>
        </x14:dataValidation>
        <x14:dataValidation type="list" allowBlank="1" showInputMessage="1" showErrorMessage="1" xr:uid="{1E22C1A2-3A03-464E-9216-67F226EA404E}">
          <x14:formula1>
            <xm:f>'CycleRAP Model'!$G$56:$G$57</xm:f>
          </x14:formula1>
          <xm:sqref>E39</xm:sqref>
        </x14:dataValidation>
        <x14:dataValidation type="list" allowBlank="1" showInputMessage="1" showErrorMessage="1" xr:uid="{861169EC-A03D-2F47-A18B-2A0E8E48BC1F}">
          <x14:formula1>
            <xm:f>'CycleRAP Model'!$G$54:$G$55</xm:f>
          </x14:formula1>
          <xm:sqref>E38</xm:sqref>
        </x14:dataValidation>
        <x14:dataValidation type="list" allowBlank="1" showInputMessage="1" showErrorMessage="1" xr:uid="{2A4B8330-8257-DB49-B3A2-7800E92D4030}">
          <x14:formula1>
            <xm:f>'CycleRAP Model'!$G$46:$G$47</xm:f>
          </x14:formula1>
          <xm:sqref>E34</xm:sqref>
        </x14:dataValidation>
        <x14:dataValidation type="list" allowBlank="1" showInputMessage="1" showErrorMessage="1" xr:uid="{42699640-5050-9645-9690-865ADB128192}">
          <x14:formula1>
            <xm:f>'CycleRAP Model'!$G$52:$G$53</xm:f>
          </x14:formula1>
          <xm:sqref>E37</xm:sqref>
        </x14:dataValidation>
        <x14:dataValidation type="list" allowBlank="1" showInputMessage="1" showErrorMessage="1" xr:uid="{1A138CC2-63B4-9B47-A05A-40E1B9680750}">
          <x14:formula1>
            <xm:f>'CycleRAP Model'!$G$39:$G$40</xm:f>
          </x14:formula1>
          <xm:sqref>E31</xm:sqref>
        </x14:dataValidation>
        <x14:dataValidation type="list" allowBlank="1" showInputMessage="1" showErrorMessage="1" xr:uid="{E8201C55-8361-463A-8037-B1DB461A9034}">
          <x14:formula1>
            <xm:f>'CycleRAP Model'!$G$15:$G$18</xm:f>
          </x14:formula1>
          <xm:sqref>E22</xm:sqref>
        </x14:dataValidation>
        <x14:dataValidation type="list" allowBlank="1" showInputMessage="1" showErrorMessage="1" xr:uid="{E7EF5E36-1EEF-364B-BAED-5A3AD6C0B5CE}">
          <x14:formula1>
            <xm:f>'Upload spec'!$H$106:$H$107</xm:f>
          </x14:formula1>
          <xm:sqref>J42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75BBD-4AD5-1640-BC29-7C77DF9D0571}">
  <sheetPr codeName="Sheet7"/>
  <dimension ref="A1:BY1"/>
  <sheetViews>
    <sheetView zoomScale="86" zoomScaleNormal="86" workbookViewId="0">
      <pane xSplit="7" ySplit="1" topLeftCell="AW4085" activePane="bottomRight" state="frozen"/>
      <selection pane="topRight" activeCell="H1" sqref="H1"/>
      <selection pane="bottomLeft" activeCell="A2" sqref="A2"/>
      <selection pane="bottomRight" activeCell="F4127" sqref="F4127"/>
    </sheetView>
  </sheetViews>
  <sheetFormatPr defaultColWidth="13.42578125" defaultRowHeight="12" x14ac:dyDescent="0.25"/>
  <cols>
    <col min="4" max="4" width="23.42578125" bestFit="1" customWidth="1"/>
    <col min="5" max="5" width="25.140625" customWidth="1"/>
    <col min="6" max="6" width="35.140625" customWidth="1"/>
    <col min="7" max="56" width="13" customWidth="1"/>
  </cols>
  <sheetData>
    <row r="1" spans="1:77" ht="231" customHeight="1" x14ac:dyDescent="0.25">
      <c r="A1" s="16" t="s">
        <v>74</v>
      </c>
      <c r="B1" s="16" t="s">
        <v>75</v>
      </c>
      <c r="C1" s="17" t="s">
        <v>76</v>
      </c>
      <c r="D1" s="17" t="s">
        <v>73</v>
      </c>
      <c r="E1" s="16" t="s">
        <v>75</v>
      </c>
      <c r="F1" s="17" t="s">
        <v>78</v>
      </c>
      <c r="G1" s="17" t="s">
        <v>79</v>
      </c>
      <c r="H1" s="17" t="s">
        <v>80</v>
      </c>
      <c r="I1" s="17" t="s">
        <v>81</v>
      </c>
      <c r="J1" s="17" t="s">
        <v>82</v>
      </c>
      <c r="K1" s="17" t="s">
        <v>83</v>
      </c>
      <c r="L1" s="17" t="s">
        <v>84</v>
      </c>
      <c r="M1" s="17" t="s">
        <v>11</v>
      </c>
      <c r="N1" s="17" t="s">
        <v>15</v>
      </c>
      <c r="O1" s="16" t="s">
        <v>19</v>
      </c>
      <c r="P1" s="16" t="s">
        <v>23</v>
      </c>
      <c r="Q1" s="16" t="s">
        <v>26</v>
      </c>
      <c r="R1" s="16" t="s">
        <v>28</v>
      </c>
      <c r="S1" s="16" t="s">
        <v>31</v>
      </c>
      <c r="T1" s="16" t="s">
        <v>33</v>
      </c>
      <c r="U1" s="16" t="s">
        <v>35</v>
      </c>
      <c r="V1" s="16" t="s">
        <v>85</v>
      </c>
      <c r="W1" s="16" t="s">
        <v>40</v>
      </c>
      <c r="X1" s="16" t="s">
        <v>43</v>
      </c>
      <c r="Y1" s="16" t="s">
        <v>47</v>
      </c>
      <c r="Z1" s="16" t="s">
        <v>49</v>
      </c>
      <c r="AA1" s="16" t="s">
        <v>51</v>
      </c>
      <c r="AB1" s="16" t="s">
        <v>54</v>
      </c>
      <c r="AC1" s="16" t="s">
        <v>57</v>
      </c>
      <c r="AD1" s="16" t="s">
        <v>61</v>
      </c>
      <c r="AE1" s="16" t="s">
        <v>63</v>
      </c>
      <c r="AF1" s="16" t="s">
        <v>66</v>
      </c>
      <c r="AG1" s="16" t="s">
        <v>68</v>
      </c>
      <c r="AH1" s="16" t="s">
        <v>71</v>
      </c>
      <c r="AI1" s="16" t="s">
        <v>72</v>
      </c>
      <c r="AJ1" s="16" t="s">
        <v>13</v>
      </c>
      <c r="AK1" s="16" t="s">
        <v>17</v>
      </c>
      <c r="AL1" s="16" t="s">
        <v>21</v>
      </c>
      <c r="AM1" s="16" t="s">
        <v>25</v>
      </c>
      <c r="AN1" s="16" t="s">
        <v>27</v>
      </c>
      <c r="AO1" s="16" t="s">
        <v>29</v>
      </c>
      <c r="AP1" s="16" t="s">
        <v>32</v>
      </c>
      <c r="AQ1" s="16" t="s">
        <v>34</v>
      </c>
      <c r="AR1" s="16" t="s">
        <v>36</v>
      </c>
      <c r="AS1" s="16" t="s">
        <v>39</v>
      </c>
      <c r="AT1" s="16" t="s">
        <v>42</v>
      </c>
      <c r="AU1" s="16" t="s">
        <v>45</v>
      </c>
      <c r="AV1" s="16" t="s">
        <v>48</v>
      </c>
      <c r="AW1" s="16" t="s">
        <v>50</v>
      </c>
      <c r="AX1" s="16" t="s">
        <v>52</v>
      </c>
      <c r="AY1" s="16" t="s">
        <v>55</v>
      </c>
      <c r="AZ1" s="16" t="s">
        <v>58</v>
      </c>
      <c r="BA1" s="16" t="s">
        <v>62</v>
      </c>
      <c r="BB1" s="16" t="s">
        <v>64</v>
      </c>
      <c r="BC1" s="16" t="s">
        <v>67</v>
      </c>
      <c r="BD1" s="16" t="s">
        <v>69</v>
      </c>
      <c r="BE1" s="16"/>
      <c r="BF1" s="16" t="s">
        <v>87</v>
      </c>
      <c r="BG1" s="16" t="s">
        <v>88</v>
      </c>
      <c r="BH1" s="16" t="s">
        <v>89</v>
      </c>
      <c r="BI1" s="16" t="s">
        <v>90</v>
      </c>
      <c r="BJ1" s="16" t="s">
        <v>91</v>
      </c>
      <c r="BK1" s="16" t="s">
        <v>6</v>
      </c>
      <c r="BL1" s="16" t="s">
        <v>92</v>
      </c>
      <c r="BM1" s="16" t="s">
        <v>93</v>
      </c>
      <c r="BN1" s="16" t="s">
        <v>94</v>
      </c>
      <c r="BO1" s="16" t="s">
        <v>95</v>
      </c>
      <c r="BP1" s="16" t="s">
        <v>96</v>
      </c>
      <c r="BQ1" s="16" t="s">
        <v>97</v>
      </c>
      <c r="BR1" s="16" t="s">
        <v>98</v>
      </c>
      <c r="BS1" s="16" t="s">
        <v>99</v>
      </c>
      <c r="BT1" s="16" t="s">
        <v>100</v>
      </c>
      <c r="BU1" s="16" t="s">
        <v>101</v>
      </c>
      <c r="BV1" s="16" t="s">
        <v>89</v>
      </c>
      <c r="BW1" s="16" t="s">
        <v>91</v>
      </c>
      <c r="BX1" s="16" t="s">
        <v>92</v>
      </c>
      <c r="BY1" s="16" t="s">
        <v>102</v>
      </c>
    </row>
  </sheetData>
  <phoneticPr fontId="12" type="noConversion"/>
  <conditionalFormatting sqref="BK1:BP1 BJ7956:BN1048576">
    <cfRule type="containsText" dxfId="38" priority="11" operator="containsText" text="Extreme">
      <formula>NOT(ISERROR(SEARCH("Extreme",BJ1)))</formula>
    </cfRule>
    <cfRule type="containsText" dxfId="37" priority="12" operator="containsText" text="Medium">
      <formula>NOT(ISERROR(SEARCH("Medium",BJ1)))</formula>
    </cfRule>
    <cfRule type="containsText" dxfId="36" priority="13" operator="containsText" text="High">
      <formula>NOT(ISERROR(SEARCH("High",BJ1)))</formula>
    </cfRule>
    <cfRule type="containsText" dxfId="35" priority="14" operator="containsText" text="Low">
      <formula>NOT(ISERROR(SEARCH("Low",BJ1)))</formula>
    </cfRule>
  </conditionalFormatting>
  <conditionalFormatting sqref="AQ7956:AQ1048576 AP1">
    <cfRule type="colorScale" priority="54">
      <colorScale>
        <cfvo type="min"/>
        <cfvo type="percentile" val="50"/>
        <cfvo type="max"/>
        <color rgb="FFF8696B"/>
        <color rgb="FFFFEB84"/>
        <color rgb="FF63BE7B"/>
      </colorScale>
    </cfRule>
  </conditionalFormatting>
  <conditionalFormatting sqref="V1:AO1 W7956:AP1048576">
    <cfRule type="colorScale" priority="56">
      <colorScale>
        <cfvo type="min"/>
        <cfvo type="percentile" val="50"/>
        <cfvo type="max"/>
        <color rgb="FFF8696B"/>
        <color rgb="FFFFEB84"/>
        <color rgb="FF63BE7B"/>
      </colorScale>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DU389"/>
  <sheetViews>
    <sheetView tabSelected="1" topLeftCell="BT2" zoomScaleNormal="100" workbookViewId="0">
      <pane ySplit="1" topLeftCell="A3" activePane="bottomLeft" state="frozen"/>
      <selection activeCell="CE2" sqref="CE2"/>
      <selection pane="bottomLeft" activeCell="CD16" sqref="CD16"/>
    </sheetView>
  </sheetViews>
  <sheetFormatPr defaultColWidth="9" defaultRowHeight="12" x14ac:dyDescent="0.25"/>
  <cols>
    <col min="1" max="2" width="9" style="28"/>
    <col min="3" max="3" width="13.140625" style="28" bestFit="1" customWidth="1"/>
    <col min="4" max="4" width="34.85546875" style="28" bestFit="1" customWidth="1"/>
    <col min="5" max="5" width="11.42578125" style="28" customWidth="1"/>
    <col min="6" max="6" width="8.85546875" style="28" customWidth="1"/>
    <col min="7" max="7" width="31.42578125" style="28" customWidth="1"/>
    <col min="8" max="8" width="3.5703125" style="28" bestFit="1" customWidth="1"/>
    <col min="9" max="9" width="6" bestFit="1" customWidth="1"/>
    <col min="10" max="10" width="9.140625" style="9"/>
    <col min="11" max="11" width="41.85546875" customWidth="1"/>
    <col min="12" max="12" width="36.140625" customWidth="1"/>
    <col min="13" max="15" width="6.42578125" customWidth="1"/>
    <col min="16" max="16" width="9" style="9" customWidth="1"/>
    <col min="17" max="67" width="3.42578125" customWidth="1"/>
    <col min="68" max="68" width="15.85546875" style="9" customWidth="1"/>
    <col min="69" max="69" width="18" customWidth="1"/>
    <col min="70" max="71" width="7" customWidth="1"/>
    <col min="72" max="72" width="12.42578125" customWidth="1"/>
    <col min="73" max="74" width="7" customWidth="1"/>
    <col min="75" max="75" width="42" customWidth="1"/>
    <col min="76" max="77" width="7" customWidth="1"/>
    <col min="78" max="78" width="34.140625" bestFit="1" customWidth="1"/>
    <col min="79" max="79" width="6.5703125" customWidth="1"/>
    <col min="80" max="80" width="6" customWidth="1"/>
    <col min="81" max="81" width="7.42578125" customWidth="1"/>
    <col min="82" max="83" width="7" customWidth="1"/>
    <col min="84" max="84" width="38.140625" bestFit="1" customWidth="1"/>
    <col min="85" max="89" width="7" customWidth="1"/>
    <col min="90" max="90" width="21.42578125" customWidth="1"/>
    <col min="91" max="92" width="7" customWidth="1"/>
    <col min="93" max="93" width="45.42578125" customWidth="1"/>
    <col min="94" max="94" width="8.140625" customWidth="1"/>
    <col min="95" max="96" width="8" customWidth="1"/>
    <col min="97" max="97" width="44.42578125" customWidth="1"/>
    <col min="98" max="98" width="8.140625" customWidth="1"/>
    <col min="99" max="99" width="15.85546875" bestFit="1" customWidth="1"/>
    <col min="102" max="103" width="9" customWidth="1"/>
    <col min="104" max="104" width="18" customWidth="1"/>
    <col min="105" max="105" width="38.42578125" customWidth="1"/>
    <col min="106" max="106" width="9" customWidth="1"/>
    <col min="107" max="107" width="9.5703125" customWidth="1"/>
    <col min="108" max="108" width="28.85546875" customWidth="1"/>
    <col min="109" max="109" width="9" customWidth="1"/>
    <col min="110" max="110" width="13.85546875" customWidth="1"/>
    <col min="112" max="112" width="19.85546875" bestFit="1" customWidth="1"/>
    <col min="113" max="113" width="19.85546875" style="22" customWidth="1"/>
    <col min="115" max="115" width="10.140625" customWidth="1"/>
    <col min="116" max="116" width="10.42578125" customWidth="1"/>
    <col min="117" max="117" width="10.5703125" customWidth="1"/>
    <col min="119" max="119" width="18.140625" bestFit="1" customWidth="1"/>
    <col min="121" max="121" width="10.85546875" customWidth="1"/>
    <col min="128" max="128" width="16.42578125" customWidth="1"/>
  </cols>
  <sheetData>
    <row r="1" spans="1:125" ht="21" x14ac:dyDescent="0.4">
      <c r="A1" s="97" t="s">
        <v>105</v>
      </c>
      <c r="K1" s="10" t="s">
        <v>106</v>
      </c>
      <c r="M1" s="1" t="s">
        <v>107</v>
      </c>
      <c r="O1" s="1" t="s">
        <v>108</v>
      </c>
      <c r="BQ1" s="10" t="s">
        <v>109</v>
      </c>
      <c r="CP1" s="1"/>
      <c r="CQ1" s="1"/>
      <c r="CR1" s="1"/>
      <c r="CS1" s="1"/>
      <c r="CT1" s="1"/>
      <c r="CU1" s="1"/>
      <c r="DE1" s="88"/>
    </row>
    <row r="2" spans="1:125" ht="78" x14ac:dyDescent="0.3">
      <c r="A2" s="98" t="s">
        <v>110</v>
      </c>
      <c r="B2" s="98" t="s">
        <v>111</v>
      </c>
      <c r="C2" s="98" t="s">
        <v>112</v>
      </c>
      <c r="D2" s="98" t="s">
        <v>113</v>
      </c>
      <c r="E2" s="98" t="s">
        <v>114</v>
      </c>
      <c r="F2" s="98" t="s">
        <v>115</v>
      </c>
      <c r="G2" s="98" t="s">
        <v>116</v>
      </c>
      <c r="H2" s="97"/>
      <c r="I2" s="1" t="s">
        <v>117</v>
      </c>
      <c r="K2" s="1" t="s">
        <v>118</v>
      </c>
      <c r="L2" s="1" t="s">
        <v>119</v>
      </c>
      <c r="M2" s="1" t="s">
        <v>120</v>
      </c>
      <c r="N2" s="1" t="s">
        <v>121</v>
      </c>
      <c r="O2" s="1" t="str">
        <f>Automation_page!C8</f>
        <v>auto</v>
      </c>
      <c r="P2" s="1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1"/>
      <c r="BQ2" s="1" t="s">
        <v>122</v>
      </c>
      <c r="BR2" s="1"/>
      <c r="BS2" s="1"/>
      <c r="BT2" s="1" t="s">
        <v>123</v>
      </c>
      <c r="BU2" s="1"/>
      <c r="BW2" s="1" t="s">
        <v>124</v>
      </c>
      <c r="BX2" s="1" t="s">
        <v>125</v>
      </c>
      <c r="BY2" s="1"/>
      <c r="BZ2" s="1" t="s">
        <v>126</v>
      </c>
      <c r="CA2" s="1" t="s">
        <v>127</v>
      </c>
      <c r="CB2" s="1" t="s">
        <v>128</v>
      </c>
      <c r="CC2" s="1"/>
      <c r="CD2" s="1" t="s">
        <v>129</v>
      </c>
      <c r="CE2" s="1"/>
      <c r="CF2" s="1" t="s">
        <v>130</v>
      </c>
      <c r="CG2" s="1"/>
      <c r="CH2" s="1"/>
      <c r="CI2" s="1"/>
      <c r="CJ2" s="1"/>
      <c r="CK2" s="1"/>
      <c r="CL2" s="1" t="s">
        <v>131</v>
      </c>
      <c r="CO2" s="1" t="s">
        <v>132</v>
      </c>
      <c r="CP2" s="1" t="s">
        <v>127</v>
      </c>
      <c r="CQ2" s="1" t="s">
        <v>128</v>
      </c>
      <c r="CR2" s="1"/>
      <c r="CS2" s="1" t="s">
        <v>133</v>
      </c>
      <c r="CT2" s="1" t="s">
        <v>127</v>
      </c>
      <c r="CU2" s="1" t="s">
        <v>128</v>
      </c>
      <c r="CZ2" s="31" t="s">
        <v>112</v>
      </c>
      <c r="DA2" s="31" t="s">
        <v>113</v>
      </c>
      <c r="DB2" s="31" t="s">
        <v>114</v>
      </c>
      <c r="DC2" s="31" t="s">
        <v>115</v>
      </c>
      <c r="DD2" s="31" t="s">
        <v>116</v>
      </c>
      <c r="DE2" s="94" t="s">
        <v>134</v>
      </c>
      <c r="DF2" s="45" t="s">
        <v>135</v>
      </c>
      <c r="DH2" s="31" t="s">
        <v>113</v>
      </c>
      <c r="DI2" s="46" t="s">
        <v>136</v>
      </c>
      <c r="DJ2" s="31" t="s">
        <v>115</v>
      </c>
      <c r="DK2" s="45" t="s">
        <v>134</v>
      </c>
      <c r="DL2" s="45"/>
      <c r="DM2" s="31" t="s">
        <v>113</v>
      </c>
      <c r="DN2" s="31" t="s">
        <v>115</v>
      </c>
      <c r="DO2" s="31" t="s">
        <v>116</v>
      </c>
      <c r="DP2" s="31" t="s">
        <v>137</v>
      </c>
      <c r="DQ2" s="31" t="s">
        <v>90</v>
      </c>
      <c r="DR2" s="45" t="s">
        <v>138</v>
      </c>
      <c r="DS2" s="45" t="s">
        <v>139</v>
      </c>
      <c r="DT2" s="45" t="s">
        <v>140</v>
      </c>
    </row>
    <row r="3" spans="1:125" ht="16.05" customHeight="1" x14ac:dyDescent="0.3">
      <c r="A3" s="99">
        <v>1</v>
      </c>
      <c r="B3" s="99" t="s">
        <v>141</v>
      </c>
      <c r="C3" s="99" t="s">
        <v>142</v>
      </c>
      <c r="D3" s="99" t="s">
        <v>74</v>
      </c>
      <c r="E3" s="99" t="s">
        <v>143</v>
      </c>
      <c r="F3" s="28" t="s">
        <v>144</v>
      </c>
      <c r="G3" s="28" t="s">
        <v>145</v>
      </c>
      <c r="H3" s="100" t="s">
        <v>144</v>
      </c>
      <c r="I3" s="5"/>
      <c r="K3" s="29" t="s">
        <v>74</v>
      </c>
      <c r="L3" s="3">
        <v>5</v>
      </c>
      <c r="M3">
        <f t="shared" ref="M3:M14" si="0">IF(L3="","",L3)</f>
        <v>5</v>
      </c>
      <c r="N3" t="str">
        <f>Automation_page!A2</f>
        <v>Gabriel G</v>
      </c>
      <c r="O3" t="str">
        <f>IF($O$2="auto",N3,M3)</f>
        <v>Gabriel G</v>
      </c>
      <c r="BQ3" s="64" t="s">
        <v>147</v>
      </c>
      <c r="BR3" s="64">
        <f>SUM(BU3,BU8,BU16,BU26)</f>
        <v>39.191039999999994</v>
      </c>
      <c r="BS3" s="5"/>
      <c r="BT3" s="1" t="s">
        <v>88</v>
      </c>
      <c r="BU3" s="63">
        <f>BX3</f>
        <v>8.3980799999999984</v>
      </c>
      <c r="BV3" s="13"/>
      <c r="BW3" t="s">
        <v>148</v>
      </c>
      <c r="BX3" s="13">
        <f>CD3</f>
        <v>8.3980799999999984</v>
      </c>
      <c r="CD3" s="13">
        <f>CJ3*PRODUCT(CH3:CH6)</f>
        <v>8.3980799999999984</v>
      </c>
      <c r="CF3" s="39" t="s">
        <v>52</v>
      </c>
      <c r="CG3" s="42">
        <f>VLOOKUP(CF3,K:O,5,FALSE)</f>
        <v>1</v>
      </c>
      <c r="CH3" s="42">
        <f>(VLOOKUP(CG3,$DC$73:$DE$74,3,FALSE))</f>
        <v>1</v>
      </c>
      <c r="CJ3" s="25">
        <f>SUM(CM3,CM16)</f>
        <v>6.9983999999999993</v>
      </c>
      <c r="CK3" s="13"/>
      <c r="CL3" s="13" t="s">
        <v>149</v>
      </c>
      <c r="CM3" s="60">
        <f>(PRODUCT(CU3:CU14)^(1+SUM(CQ3:CQ10)*0.1))</f>
        <v>6.9983999999999993</v>
      </c>
      <c r="CN3" s="13"/>
      <c r="CO3" s="39" t="s">
        <v>28</v>
      </c>
      <c r="CP3" s="42">
        <f t="shared" ref="CP3:CP10" si="1">VLOOKUP(CO3,K:O,5,FALSE)</f>
        <v>2</v>
      </c>
      <c r="CQ3" s="42">
        <f>(VLOOKUP(CP3,$DC$9:$DF$10,4,FALSE))</f>
        <v>0</v>
      </c>
      <c r="CS3" s="4" t="s">
        <v>23</v>
      </c>
      <c r="CT3" s="14">
        <f t="shared" ref="CT3:CT13" si="2">VLOOKUP(CS3,K:O,5,FALSE)</f>
        <v>2</v>
      </c>
      <c r="CU3" s="14">
        <f>(VLOOKUP(CT3,$DC$5:$DE$6,3,FALSE))</f>
        <v>1</v>
      </c>
      <c r="CX3" s="49"/>
      <c r="CY3" s="49"/>
      <c r="CZ3" s="32" t="s">
        <v>150</v>
      </c>
      <c r="DA3" s="33" t="s">
        <v>19</v>
      </c>
      <c r="DB3" s="32" t="s">
        <v>112</v>
      </c>
      <c r="DC3" s="48">
        <v>1</v>
      </c>
      <c r="DD3" s="48" t="s">
        <v>151</v>
      </c>
      <c r="DE3" s="95"/>
      <c r="DF3" s="48">
        <v>0</v>
      </c>
      <c r="DH3" s="329" t="s">
        <v>152</v>
      </c>
      <c r="DI3" s="22">
        <v>0</v>
      </c>
      <c r="DK3" s="61">
        <v>0.25</v>
      </c>
      <c r="DL3" s="87"/>
      <c r="DM3" s="327" t="s">
        <v>15</v>
      </c>
      <c r="DN3" s="48">
        <v>1</v>
      </c>
      <c r="DO3" s="48" t="s">
        <v>153</v>
      </c>
      <c r="DP3" s="48">
        <v>0</v>
      </c>
      <c r="DQ3" s="48">
        <v>1</v>
      </c>
      <c r="DR3" s="48">
        <v>0</v>
      </c>
      <c r="DS3" s="47">
        <v>0.8</v>
      </c>
      <c r="DT3" s="232">
        <v>1</v>
      </c>
    </row>
    <row r="4" spans="1:125" ht="16.05" customHeight="1" x14ac:dyDescent="0.3">
      <c r="A4" s="99">
        <v>2</v>
      </c>
      <c r="B4" s="99" t="s">
        <v>154</v>
      </c>
      <c r="C4" s="99" t="s">
        <v>142</v>
      </c>
      <c r="D4" s="99" t="s">
        <v>75</v>
      </c>
      <c r="E4" s="99" t="s">
        <v>143</v>
      </c>
      <c r="F4" s="28" t="s">
        <v>144</v>
      </c>
      <c r="G4" s="28" t="s">
        <v>155</v>
      </c>
      <c r="H4" s="100" t="s">
        <v>144</v>
      </c>
      <c r="I4" s="5"/>
      <c r="K4" s="29" t="s">
        <v>75</v>
      </c>
      <c r="L4" s="21" t="s">
        <v>156</v>
      </c>
      <c r="M4" t="str">
        <f t="shared" si="0"/>
        <v>20181114132427.539+01:00</v>
      </c>
      <c r="N4" s="24">
        <f>Automation_page!B2</f>
        <v>45076</v>
      </c>
      <c r="O4" s="24">
        <f t="shared" ref="O4:O13" si="3">IF($O$2="auto",N4,M4)</f>
        <v>45076</v>
      </c>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R4" s="1" t="str">
        <f>IF(OR(BU4="Extreme",BU9="Extreme",BU17="Extreme",BU27="Extreme"),"Extreme",IF(OR(BU4="High",BU9="High",BU17="High",BU27="HIgh"),"High",IF(OR(BU4="Medium",BU9="Medium",BU17="Medium",BU27="Medium"),"Medium","Low")))</f>
        <v>High</v>
      </c>
      <c r="BT4" s="1"/>
      <c r="BU4" s="1" t="str">
        <f>IF(BU3&lt;=5,"Low",IF(AND(BU3&gt;5,BU3&lt;=10),"Medium",IF(AND(BU3&gt;10,BU3&lt;=20),"High","Extreme")))</f>
        <v>Medium</v>
      </c>
      <c r="BV4" s="1"/>
      <c r="BW4" s="1"/>
      <c r="BX4" s="1"/>
      <c r="BY4" s="1"/>
      <c r="CD4" s="1"/>
      <c r="CE4" s="1"/>
      <c r="CF4" s="4" t="s">
        <v>13</v>
      </c>
      <c r="CG4">
        <f>VLOOKUP(CF4,K:O,5,FALSE)</f>
        <v>1</v>
      </c>
      <c r="CH4">
        <f>(VLOOKUP(CG4,$DC$44:$DE$45,3,FALSE))</f>
        <v>1</v>
      </c>
      <c r="CK4" s="1"/>
      <c r="CL4" s="1"/>
      <c r="CO4" s="4" t="s">
        <v>31</v>
      </c>
      <c r="CP4">
        <f t="shared" si="1"/>
        <v>2</v>
      </c>
      <c r="CQ4">
        <f>(VLOOKUP(CP4,$DC$11:$DF$12,4,FALSE))</f>
        <v>0</v>
      </c>
      <c r="CS4" s="4" t="s">
        <v>35</v>
      </c>
      <c r="CT4" s="14">
        <f t="shared" si="2"/>
        <v>2</v>
      </c>
      <c r="CU4" s="14">
        <f>(VLOOKUP(CT4,$DC$15:$DE$16,3,FALSE))</f>
        <v>1.2</v>
      </c>
      <c r="DA4" s="34"/>
      <c r="DC4" s="48">
        <v>2</v>
      </c>
      <c r="DD4" s="48" t="s">
        <v>20</v>
      </c>
      <c r="DE4" s="95"/>
      <c r="DF4" s="48">
        <v>1</v>
      </c>
      <c r="DH4" s="330"/>
      <c r="DI4" s="22">
        <v>100</v>
      </c>
      <c r="DK4" s="61">
        <v>0.25</v>
      </c>
      <c r="DL4" s="87"/>
      <c r="DM4" s="328"/>
      <c r="DN4" s="48">
        <v>2</v>
      </c>
      <c r="DO4" s="48" t="s">
        <v>157</v>
      </c>
      <c r="DP4" s="48">
        <v>0</v>
      </c>
      <c r="DQ4" s="48">
        <v>1</v>
      </c>
      <c r="DR4" s="48">
        <v>0</v>
      </c>
      <c r="DS4" s="47">
        <v>0.8</v>
      </c>
      <c r="DT4" s="232">
        <v>1</v>
      </c>
      <c r="DU4" s="22"/>
    </row>
    <row r="5" spans="1:125" ht="16.05" customHeight="1" x14ac:dyDescent="0.3">
      <c r="A5" s="99">
        <v>3</v>
      </c>
      <c r="B5" s="99" t="s">
        <v>146</v>
      </c>
      <c r="C5" s="99" t="s">
        <v>142</v>
      </c>
      <c r="D5" s="99" t="s">
        <v>76</v>
      </c>
      <c r="E5" s="99" t="s">
        <v>143</v>
      </c>
      <c r="F5" s="28" t="s">
        <v>144</v>
      </c>
      <c r="G5" s="28" t="s">
        <v>155</v>
      </c>
      <c r="H5" s="101" t="s">
        <v>144</v>
      </c>
      <c r="I5" s="6"/>
      <c r="K5" s="30" t="s">
        <v>76</v>
      </c>
      <c r="L5" s="21">
        <v>20171026100338.398</v>
      </c>
      <c r="M5">
        <f t="shared" si="0"/>
        <v>20171026100338.398</v>
      </c>
      <c r="N5" s="24">
        <f>Automation_page!C2</f>
        <v>45076</v>
      </c>
      <c r="O5" s="24">
        <f t="shared" si="3"/>
        <v>45076</v>
      </c>
      <c r="BT5" s="1"/>
      <c r="BU5" s="1"/>
      <c r="BV5" s="1"/>
      <c r="BW5" s="1"/>
      <c r="BX5" s="1"/>
      <c r="BY5" s="1"/>
      <c r="BZ5" s="1"/>
      <c r="CA5" s="1"/>
      <c r="CB5" s="1"/>
      <c r="CC5" s="1"/>
      <c r="CD5" s="1"/>
      <c r="CE5" s="1"/>
      <c r="CF5" s="4" t="s">
        <v>55</v>
      </c>
      <c r="CG5">
        <f>VLOOKUP(CF5,K:O,5,FALSE)</f>
        <v>1</v>
      </c>
      <c r="CH5">
        <f>(VLOOKUP(CG5,$DC$75:$DE$76,3,FALSE))</f>
        <v>1</v>
      </c>
      <c r="CK5" s="1"/>
      <c r="CL5" s="1"/>
      <c r="CO5" s="4" t="s">
        <v>33</v>
      </c>
      <c r="CP5">
        <f t="shared" si="1"/>
        <v>2</v>
      </c>
      <c r="CQ5">
        <f>(VLOOKUP(CP5,$DC$13:$DF$14,4,FALSE))</f>
        <v>0</v>
      </c>
      <c r="CS5" s="4" t="s">
        <v>40</v>
      </c>
      <c r="CT5" s="14">
        <f t="shared" si="2"/>
        <v>1</v>
      </c>
      <c r="CU5" s="14">
        <f>(VLOOKUP(CT5,$DC$17:$DE$19,3,FALSE))</f>
        <v>1.8</v>
      </c>
      <c r="CZ5" s="32" t="s">
        <v>150</v>
      </c>
      <c r="DA5" s="33" t="s">
        <v>23</v>
      </c>
      <c r="DB5" s="32" t="s">
        <v>112</v>
      </c>
      <c r="DC5" s="47">
        <v>1</v>
      </c>
      <c r="DD5" s="47" t="s">
        <v>24</v>
      </c>
      <c r="DE5" s="96">
        <v>1.5</v>
      </c>
      <c r="DF5" s="48">
        <v>1</v>
      </c>
      <c r="DH5" s="330"/>
      <c r="DI5" s="22">
        <v>500</v>
      </c>
      <c r="DK5" s="61">
        <v>0.5</v>
      </c>
      <c r="DL5" s="87"/>
      <c r="DM5" s="328"/>
      <c r="DN5" s="48">
        <v>3</v>
      </c>
      <c r="DO5" s="48" t="s">
        <v>16</v>
      </c>
      <c r="DP5" s="48">
        <v>0</v>
      </c>
      <c r="DQ5" s="48">
        <v>0</v>
      </c>
      <c r="DR5" s="48">
        <v>0</v>
      </c>
      <c r="DS5" s="47">
        <v>0.8</v>
      </c>
      <c r="DT5" s="232">
        <v>1</v>
      </c>
      <c r="DU5" s="22"/>
    </row>
    <row r="6" spans="1:125" ht="16.05" customHeight="1" x14ac:dyDescent="0.3">
      <c r="A6" s="99">
        <v>4</v>
      </c>
      <c r="B6" s="99" t="s">
        <v>158</v>
      </c>
      <c r="C6" s="99" t="s">
        <v>142</v>
      </c>
      <c r="D6" s="99" t="s">
        <v>73</v>
      </c>
      <c r="E6" s="99" t="s">
        <v>143</v>
      </c>
      <c r="F6" s="28" t="s">
        <v>144</v>
      </c>
      <c r="G6" s="28" t="s">
        <v>159</v>
      </c>
      <c r="H6" s="101" t="s">
        <v>144</v>
      </c>
      <c r="I6" s="6"/>
      <c r="K6" s="30" t="s">
        <v>73</v>
      </c>
      <c r="L6" s="21">
        <f>Demonstrator!J47</f>
        <v>0</v>
      </c>
      <c r="M6">
        <f t="shared" si="0"/>
        <v>0</v>
      </c>
      <c r="N6" t="str">
        <f>Automation_page!D2</f>
        <v>F004560</v>
      </c>
      <c r="O6" t="str">
        <f t="shared" si="3"/>
        <v>F004560</v>
      </c>
      <c r="BT6" s="1"/>
      <c r="BU6" s="1"/>
      <c r="BV6" s="1"/>
      <c r="BW6" s="1"/>
      <c r="BX6" s="1"/>
      <c r="BY6" s="1"/>
      <c r="BZ6" s="1"/>
      <c r="CA6" s="1"/>
      <c r="CB6" s="1"/>
      <c r="CC6" s="1"/>
      <c r="CD6" s="1"/>
      <c r="CE6" s="1"/>
      <c r="CF6" s="36" t="s">
        <v>50</v>
      </c>
      <c r="CG6" s="23">
        <f>VLOOKUP(CF6,K:O,5,FALSE)</f>
        <v>2</v>
      </c>
      <c r="CH6" s="23">
        <f>(VLOOKUP(CG6,$DC$71:$DE$72,3,FALSE))</f>
        <v>1.2</v>
      </c>
      <c r="CK6" s="1"/>
      <c r="CO6" s="4" t="s">
        <v>51</v>
      </c>
      <c r="CP6">
        <f t="shared" si="1"/>
        <v>2</v>
      </c>
      <c r="CQ6">
        <f>(VLOOKUP(CP6,$DC$26:$DF$27,4,FALSE))</f>
        <v>0</v>
      </c>
      <c r="CS6" s="4" t="s">
        <v>43</v>
      </c>
      <c r="CT6" s="14">
        <f t="shared" si="2"/>
        <v>2</v>
      </c>
      <c r="CU6" s="14">
        <f>(VLOOKUP(CT6,$DC$20:$DE$21,3,FALSE))</f>
        <v>1.5</v>
      </c>
      <c r="DA6" s="34"/>
      <c r="DC6" s="47">
        <v>2</v>
      </c>
      <c r="DD6" s="47" t="s">
        <v>22</v>
      </c>
      <c r="DE6" s="96">
        <v>1</v>
      </c>
      <c r="DF6" s="48">
        <v>0</v>
      </c>
      <c r="DH6" s="330"/>
      <c r="DI6" s="22">
        <v>1500</v>
      </c>
      <c r="DK6" s="61">
        <v>0.75</v>
      </c>
      <c r="DL6" s="87"/>
      <c r="DM6" s="328"/>
      <c r="DN6" s="48">
        <v>4</v>
      </c>
      <c r="DO6" s="48" t="s">
        <v>160</v>
      </c>
      <c r="DP6" s="48">
        <v>0</v>
      </c>
      <c r="DQ6" s="48">
        <v>0</v>
      </c>
      <c r="DR6" s="48">
        <v>0</v>
      </c>
      <c r="DS6" s="47">
        <v>1</v>
      </c>
      <c r="DT6" s="232">
        <v>1</v>
      </c>
    </row>
    <row r="7" spans="1:125" ht="16.05" customHeight="1" x14ac:dyDescent="0.3">
      <c r="A7" s="99">
        <v>5</v>
      </c>
      <c r="B7" s="99" t="s">
        <v>161</v>
      </c>
      <c r="C7" s="99" t="s">
        <v>142</v>
      </c>
      <c r="D7" s="99" t="s">
        <v>77</v>
      </c>
      <c r="E7" s="99" t="s">
        <v>143</v>
      </c>
      <c r="F7" s="28" t="s">
        <v>144</v>
      </c>
      <c r="G7" s="28" t="s">
        <v>145</v>
      </c>
      <c r="H7" s="101" t="s">
        <v>144</v>
      </c>
      <c r="I7" s="6"/>
      <c r="K7" s="30" t="s">
        <v>77</v>
      </c>
      <c r="L7" s="3" t="s">
        <v>162</v>
      </c>
      <c r="M7" t="str">
        <f t="shared" si="0"/>
        <v>Lange Zijde</v>
      </c>
      <c r="N7" t="str">
        <f>Automation_page!E2</f>
        <v>Carrera 30</v>
      </c>
      <c r="O7" t="str">
        <f t="shared" si="3"/>
        <v>Carrera 30</v>
      </c>
      <c r="BU7" s="1"/>
      <c r="CE7" s="1"/>
      <c r="CF7" s="1"/>
      <c r="CG7" s="1"/>
      <c r="CH7" s="1"/>
      <c r="CI7" s="1"/>
      <c r="CJ7" s="1"/>
      <c r="CK7" s="1"/>
      <c r="CO7" s="4" t="s">
        <v>32</v>
      </c>
      <c r="CP7">
        <f t="shared" si="1"/>
        <v>2</v>
      </c>
      <c r="CQ7">
        <f>(VLOOKUP(CP7,$DC$56:$DF$57,4,FALSE))</f>
        <v>0</v>
      </c>
      <c r="CS7" s="4" t="s">
        <v>47</v>
      </c>
      <c r="CT7" s="14">
        <f t="shared" si="2"/>
        <v>2</v>
      </c>
      <c r="CU7" s="14">
        <f>(VLOOKUP(CT7,$DC$22:$DE$23,3,FALSE))</f>
        <v>1</v>
      </c>
      <c r="CZ7" s="32" t="s">
        <v>150</v>
      </c>
      <c r="DA7" s="33" t="s">
        <v>26</v>
      </c>
      <c r="DB7" s="32" t="s">
        <v>112</v>
      </c>
      <c r="DC7" s="47">
        <v>1</v>
      </c>
      <c r="DD7" s="47" t="s">
        <v>24</v>
      </c>
      <c r="DE7" s="96">
        <v>1.5</v>
      </c>
      <c r="DF7" s="48">
        <v>1</v>
      </c>
      <c r="DH7" s="330"/>
      <c r="DI7" s="22">
        <v>2500</v>
      </c>
      <c r="DK7" s="61">
        <v>1</v>
      </c>
      <c r="DL7" s="87"/>
      <c r="DM7" s="328"/>
      <c r="DN7" s="48">
        <v>5</v>
      </c>
      <c r="DO7" s="48" t="s">
        <v>163</v>
      </c>
      <c r="DP7" s="48">
        <v>0</v>
      </c>
      <c r="DQ7" s="48">
        <v>0</v>
      </c>
      <c r="DR7" s="48">
        <v>0</v>
      </c>
      <c r="DS7" s="47">
        <v>1</v>
      </c>
      <c r="DT7" s="232">
        <v>1</v>
      </c>
      <c r="DU7" s="22"/>
    </row>
    <row r="8" spans="1:125" ht="16.05" customHeight="1" x14ac:dyDescent="0.3">
      <c r="A8" s="99">
        <v>6</v>
      </c>
      <c r="B8" s="99" t="s">
        <v>164</v>
      </c>
      <c r="C8" s="99" t="s">
        <v>142</v>
      </c>
      <c r="D8" s="99" t="s">
        <v>78</v>
      </c>
      <c r="E8" s="99" t="s">
        <v>143</v>
      </c>
      <c r="F8" s="28" t="s">
        <v>144</v>
      </c>
      <c r="G8" s="28" t="s">
        <v>165</v>
      </c>
      <c r="H8" s="101" t="s">
        <v>144</v>
      </c>
      <c r="I8" s="6"/>
      <c r="K8" s="30" t="s">
        <v>78</v>
      </c>
      <c r="L8" s="3">
        <v>0</v>
      </c>
      <c r="M8">
        <f t="shared" si="0"/>
        <v>0</v>
      </c>
      <c r="N8">
        <f>Automation_page!F2</f>
        <v>4560</v>
      </c>
      <c r="O8">
        <f t="shared" si="3"/>
        <v>4560</v>
      </c>
      <c r="BT8" s="1" t="s">
        <v>90</v>
      </c>
      <c r="BU8" s="1">
        <f>BX8+BX11</f>
        <v>16.796159999999997</v>
      </c>
      <c r="BV8" s="1"/>
      <c r="BW8" s="53" t="s">
        <v>166</v>
      </c>
      <c r="BX8" s="53">
        <f>IF(SUM(CB8:CB9)&gt;0,CD3,0)</f>
        <v>8.3980799999999984</v>
      </c>
      <c r="BY8" s="53"/>
      <c r="BZ8" s="57" t="s">
        <v>61</v>
      </c>
      <c r="CA8" s="53">
        <f>VLOOKUP(BZ8,K:O,5,FALSE)</f>
        <v>1</v>
      </c>
      <c r="CB8" s="53">
        <f>(VLOOKUP(CA8,$DC$32:$DF$33,4,FALSE))</f>
        <v>1</v>
      </c>
      <c r="CE8" s="1"/>
      <c r="CF8" s="1"/>
      <c r="CG8" s="1"/>
      <c r="CH8" s="1"/>
      <c r="CI8" s="1"/>
      <c r="CJ8" s="1"/>
      <c r="CK8" s="1"/>
      <c r="CO8" s="4" t="s">
        <v>42</v>
      </c>
      <c r="CP8">
        <f t="shared" si="1"/>
        <v>2</v>
      </c>
      <c r="CQ8">
        <f>(VLOOKUP(CP8,$DC$64:$DF$65,4,FALSE))</f>
        <v>0</v>
      </c>
      <c r="CS8" s="4" t="s">
        <v>13</v>
      </c>
      <c r="CT8" s="14">
        <f t="shared" si="2"/>
        <v>1</v>
      </c>
      <c r="CU8" s="14">
        <f>(VLOOKUP(CT8,$DC$44:$DE$45,3,FALSE))</f>
        <v>1</v>
      </c>
      <c r="DA8" s="34"/>
      <c r="DC8" s="47">
        <v>2</v>
      </c>
      <c r="DD8" s="47" t="s">
        <v>22</v>
      </c>
      <c r="DE8" s="96">
        <v>1</v>
      </c>
      <c r="DF8" s="48">
        <v>0</v>
      </c>
      <c r="DH8" s="330"/>
      <c r="DI8" s="22">
        <v>5000</v>
      </c>
      <c r="DK8" s="61">
        <f t="shared" ref="DK8:DK19" si="4">DK7+(DK7*7%)</f>
        <v>1.07</v>
      </c>
      <c r="DL8" s="87"/>
      <c r="DM8" s="328"/>
      <c r="DN8" s="48">
        <v>6</v>
      </c>
      <c r="DO8" s="48" t="s">
        <v>167</v>
      </c>
      <c r="DP8" s="48">
        <v>1</v>
      </c>
      <c r="DQ8" s="48">
        <v>0</v>
      </c>
      <c r="DR8" s="48">
        <v>1</v>
      </c>
      <c r="DS8" s="47">
        <v>1</v>
      </c>
      <c r="DT8" s="232">
        <v>1.2</v>
      </c>
      <c r="DU8" s="22"/>
    </row>
    <row r="9" spans="1:125" ht="16.05" customHeight="1" x14ac:dyDescent="0.3">
      <c r="A9" s="99">
        <v>7</v>
      </c>
      <c r="B9" s="99" t="s">
        <v>168</v>
      </c>
      <c r="C9" s="99" t="s">
        <v>142</v>
      </c>
      <c r="D9" s="99" t="s">
        <v>79</v>
      </c>
      <c r="E9" s="99" t="s">
        <v>143</v>
      </c>
      <c r="F9" s="28" t="s">
        <v>144</v>
      </c>
      <c r="G9" s="28" t="s">
        <v>169</v>
      </c>
      <c r="H9" s="101" t="s">
        <v>144</v>
      </c>
      <c r="I9" s="6"/>
      <c r="K9" s="30" t="s">
        <v>79</v>
      </c>
      <c r="L9" s="3">
        <v>2.5000000000000001E-2</v>
      </c>
      <c r="M9">
        <f t="shared" si="0"/>
        <v>2.5000000000000001E-2</v>
      </c>
      <c r="N9">
        <f>Automation_page!G2</f>
        <v>0.01</v>
      </c>
      <c r="O9">
        <f t="shared" si="3"/>
        <v>0.01</v>
      </c>
      <c r="BU9" s="1" t="str">
        <f>IF(BU8&lt;=5,"Low",IF(AND(BU8&gt;5,BU8&lt;=10),"Medium",IF(AND(BU8&gt;10,BU8&lt;=20),"High","Extreme")))</f>
        <v>High</v>
      </c>
      <c r="BZ9" s="58" t="s">
        <v>72</v>
      </c>
      <c r="CA9" s="50">
        <f>VLOOKUP(BZ9,K:O,5,FALSE)</f>
        <v>2</v>
      </c>
      <c r="CB9" s="50">
        <f>(VLOOKUP(CA9,$DC$42:$DF$43,4,FALSE))</f>
        <v>0</v>
      </c>
      <c r="CE9" s="1"/>
      <c r="CF9" s="1"/>
      <c r="CG9" s="1"/>
      <c r="CH9" s="1"/>
      <c r="CI9" s="1"/>
      <c r="CJ9" s="1"/>
      <c r="CK9" s="1"/>
      <c r="CO9" s="4" t="s">
        <v>27</v>
      </c>
      <c r="CP9">
        <f t="shared" si="1"/>
        <v>2</v>
      </c>
      <c r="CQ9">
        <f>(VLOOKUP(CP9,$DC$52:$DF$53,4,FALSE))</f>
        <v>0</v>
      </c>
      <c r="CS9" s="4" t="s">
        <v>50</v>
      </c>
      <c r="CT9" s="14">
        <f t="shared" si="2"/>
        <v>2</v>
      </c>
      <c r="CU9" s="14">
        <f>(VLOOKUP(CT9,$DC$71:$DE$72,3,FALSE))</f>
        <v>1.2</v>
      </c>
      <c r="CZ9" s="32" t="s">
        <v>150</v>
      </c>
      <c r="DA9" s="33" t="s">
        <v>28</v>
      </c>
      <c r="DB9" s="32" t="s">
        <v>112</v>
      </c>
      <c r="DC9" s="48">
        <v>1</v>
      </c>
      <c r="DD9" s="48" t="s">
        <v>24</v>
      </c>
      <c r="DE9" s="95"/>
      <c r="DF9" s="48">
        <v>1</v>
      </c>
      <c r="DH9" s="330"/>
      <c r="DI9" s="22">
        <f>DI8+2500</f>
        <v>7500</v>
      </c>
      <c r="DK9" s="61">
        <f t="shared" si="4"/>
        <v>1.1449</v>
      </c>
      <c r="DL9" s="87"/>
      <c r="DU9" s="22"/>
    </row>
    <row r="10" spans="1:125" ht="16.05" customHeight="1" x14ac:dyDescent="0.3">
      <c r="A10" s="99">
        <v>8</v>
      </c>
      <c r="B10" s="99" t="s">
        <v>170</v>
      </c>
      <c r="C10" s="99" t="s">
        <v>142</v>
      </c>
      <c r="D10" s="99" t="s">
        <v>171</v>
      </c>
      <c r="E10" s="99" t="s">
        <v>143</v>
      </c>
      <c r="F10" s="28" t="s">
        <v>144</v>
      </c>
      <c r="G10" s="28" t="s">
        <v>172</v>
      </c>
      <c r="H10" s="101" t="s">
        <v>144</v>
      </c>
      <c r="I10" s="6"/>
      <c r="K10" s="30" t="s">
        <v>80</v>
      </c>
      <c r="L10" s="3">
        <f>Demonstrator!J43</f>
        <v>0</v>
      </c>
      <c r="M10">
        <f t="shared" si="0"/>
        <v>0</v>
      </c>
      <c r="N10">
        <f>Automation_page!H2</f>
        <v>4.6501536000000003</v>
      </c>
      <c r="O10">
        <f t="shared" si="3"/>
        <v>4.6501536000000003</v>
      </c>
      <c r="BT10" s="1"/>
      <c r="BU10" s="1"/>
      <c r="BV10" s="1"/>
      <c r="BW10" s="1"/>
      <c r="BX10" s="1"/>
      <c r="BY10" s="1"/>
      <c r="BZ10" s="1"/>
      <c r="CA10" s="1"/>
      <c r="CB10" s="1"/>
      <c r="CC10" s="1"/>
      <c r="CD10" s="1"/>
      <c r="CE10" s="1"/>
      <c r="CF10" s="1"/>
      <c r="CG10" s="1"/>
      <c r="CH10" s="1"/>
      <c r="CI10" s="1"/>
      <c r="CJ10" s="1"/>
      <c r="CK10" s="1"/>
      <c r="CO10" s="36" t="s">
        <v>25</v>
      </c>
      <c r="CP10" s="23">
        <f t="shared" si="1"/>
        <v>2</v>
      </c>
      <c r="CQ10" s="23">
        <f>(VLOOKUP(CP10,$DC$50:$DF$51,4,FALSE))</f>
        <v>0</v>
      </c>
      <c r="CS10" s="4" t="s">
        <v>45</v>
      </c>
      <c r="CT10" s="14">
        <f t="shared" si="2"/>
        <v>3</v>
      </c>
      <c r="CU10" s="14">
        <f>(VLOOKUP(CT10,$DC$66:$DE$68,3,FALSE))</f>
        <v>1.5</v>
      </c>
      <c r="DA10" s="34"/>
      <c r="DC10" s="48">
        <v>2</v>
      </c>
      <c r="DD10" s="48" t="s">
        <v>22</v>
      </c>
      <c r="DE10" s="95"/>
      <c r="DF10" s="48">
        <v>0</v>
      </c>
      <c r="DH10" s="330"/>
      <c r="DI10" s="22">
        <f t="shared" ref="DI10:DI16" si="5">DI9+2500</f>
        <v>10000</v>
      </c>
      <c r="DK10" s="61">
        <f t="shared" si="4"/>
        <v>1.2250430000000001</v>
      </c>
      <c r="DL10" s="87"/>
      <c r="DU10" s="22"/>
    </row>
    <row r="11" spans="1:125" ht="16.05" customHeight="1" x14ac:dyDescent="0.3">
      <c r="A11" s="99">
        <v>9</v>
      </c>
      <c r="B11" s="99" t="s">
        <v>173</v>
      </c>
      <c r="C11" s="99" t="s">
        <v>142</v>
      </c>
      <c r="D11" s="99" t="s">
        <v>171</v>
      </c>
      <c r="E11" s="99" t="s">
        <v>143</v>
      </c>
      <c r="F11" s="28" t="s">
        <v>144</v>
      </c>
      <c r="G11" s="28" t="s">
        <v>174</v>
      </c>
      <c r="H11" s="101" t="s">
        <v>144</v>
      </c>
      <c r="I11" s="6"/>
      <c r="K11" s="30" t="s">
        <v>81</v>
      </c>
      <c r="L11" s="3">
        <f>Demonstrator!J44</f>
        <v>0</v>
      </c>
      <c r="M11">
        <f t="shared" si="0"/>
        <v>0</v>
      </c>
      <c r="N11">
        <f>Automation_page!I2</f>
        <v>-74.078029700000002</v>
      </c>
      <c r="O11">
        <f t="shared" si="3"/>
        <v>-74.078029700000002</v>
      </c>
      <c r="BT11" s="1"/>
      <c r="BU11" s="1"/>
      <c r="BV11" s="1"/>
      <c r="BW11" t="s">
        <v>148</v>
      </c>
      <c r="BX11">
        <f>IF(SUM(CB11:CB13)&gt;0,CD3,0)</f>
        <v>8.3980799999999984</v>
      </c>
      <c r="BY11" s="1"/>
      <c r="BZ11" s="39" t="s">
        <v>45</v>
      </c>
      <c r="CA11" s="53">
        <f>VLOOKUP(BZ11,K:O,5,FALSE)</f>
        <v>3</v>
      </c>
      <c r="CB11" s="53">
        <f>(VLOOKUP(CA11,$DC$66:$DF$68,4,FALSE))</f>
        <v>1</v>
      </c>
      <c r="CD11" s="1"/>
      <c r="CE11" s="1"/>
      <c r="CF11" s="1"/>
      <c r="CG11" s="1"/>
      <c r="CH11" s="1"/>
      <c r="CI11" s="1"/>
      <c r="CJ11" s="1"/>
      <c r="CK11" s="1"/>
      <c r="CS11" s="4" t="s">
        <v>48</v>
      </c>
      <c r="CT11" s="14">
        <f t="shared" si="2"/>
        <v>2</v>
      </c>
      <c r="CU11" s="14">
        <f>(VLOOKUP(CT11,$DC$69:$DE$70,3,FALSE))</f>
        <v>1.2</v>
      </c>
      <c r="CZ11" s="32" t="s">
        <v>150</v>
      </c>
      <c r="DA11" s="33" t="s">
        <v>31</v>
      </c>
      <c r="DB11" s="32" t="s">
        <v>112</v>
      </c>
      <c r="DC11" s="48">
        <v>1</v>
      </c>
      <c r="DD11" s="48" t="s">
        <v>24</v>
      </c>
      <c r="DE11" s="95"/>
      <c r="DF11" s="48">
        <v>1</v>
      </c>
      <c r="DH11" s="330"/>
      <c r="DI11" s="22">
        <f t="shared" si="5"/>
        <v>12500</v>
      </c>
      <c r="DK11" s="61">
        <f t="shared" si="4"/>
        <v>1.3107960100000002</v>
      </c>
      <c r="DL11" s="87"/>
      <c r="DU11" s="22"/>
    </row>
    <row r="12" spans="1:125" ht="16.05" customHeight="1" x14ac:dyDescent="0.3">
      <c r="A12" s="99">
        <v>10</v>
      </c>
      <c r="B12" s="99" t="s">
        <v>175</v>
      </c>
      <c r="C12" s="99" t="s">
        <v>142</v>
      </c>
      <c r="D12" s="99" t="s">
        <v>176</v>
      </c>
      <c r="E12" s="99" t="s">
        <v>143</v>
      </c>
      <c r="F12" s="28" t="s">
        <v>144</v>
      </c>
      <c r="G12" s="28" t="s">
        <v>172</v>
      </c>
      <c r="H12" s="101" t="s">
        <v>144</v>
      </c>
      <c r="I12" s="6"/>
      <c r="K12" s="30" t="s">
        <v>82</v>
      </c>
      <c r="L12" s="3">
        <f>Demonstrator!J45</f>
        <v>0</v>
      </c>
      <c r="M12">
        <f t="shared" si="0"/>
        <v>0</v>
      </c>
      <c r="N12">
        <f>Automation_page!J2</f>
        <v>4.6502423000000004</v>
      </c>
      <c r="O12">
        <f t="shared" si="3"/>
        <v>4.6502423000000004</v>
      </c>
      <c r="BR12" s="23"/>
      <c r="BT12" s="1"/>
      <c r="BU12" s="1"/>
      <c r="BV12" s="1"/>
      <c r="BW12" s="1"/>
      <c r="BX12" s="1"/>
      <c r="BY12" s="1"/>
      <c r="BZ12" s="56" t="s">
        <v>15</v>
      </c>
      <c r="CA12">
        <f>VLOOKUP(BZ12,K:O,5,FALSE)</f>
        <v>3</v>
      </c>
      <c r="CB12">
        <f>(VLOOKUP(CA12,$DN$3:$DQ$8,4,FALSE))</f>
        <v>0</v>
      </c>
      <c r="CD12" s="1"/>
      <c r="CE12" s="1"/>
      <c r="CF12" s="1"/>
      <c r="CG12" s="1"/>
      <c r="CH12" s="1"/>
      <c r="CI12" s="1"/>
      <c r="CJ12" s="1"/>
      <c r="CK12" s="1"/>
      <c r="CS12" s="4" t="s">
        <v>55</v>
      </c>
      <c r="CT12" s="14">
        <f t="shared" si="2"/>
        <v>1</v>
      </c>
      <c r="CU12" s="14">
        <f>(VLOOKUP(CT12,$DC$75:$DE$76,3,FALSE))</f>
        <v>1</v>
      </c>
      <c r="DA12" s="34"/>
      <c r="DC12" s="48">
        <v>2</v>
      </c>
      <c r="DD12" s="48" t="s">
        <v>22</v>
      </c>
      <c r="DE12" s="95"/>
      <c r="DF12" s="48">
        <v>0</v>
      </c>
      <c r="DH12" s="330"/>
      <c r="DI12" s="22">
        <f t="shared" si="5"/>
        <v>15000</v>
      </c>
      <c r="DK12" s="61">
        <f t="shared" si="4"/>
        <v>1.4025517307000002</v>
      </c>
      <c r="DL12" s="87"/>
      <c r="DU12" s="22"/>
    </row>
    <row r="13" spans="1:125" ht="16.05" customHeight="1" x14ac:dyDescent="0.3">
      <c r="A13" s="99">
        <v>11</v>
      </c>
      <c r="B13" s="99" t="s">
        <v>177</v>
      </c>
      <c r="C13" s="99" t="s">
        <v>142</v>
      </c>
      <c r="D13" s="99" t="s">
        <v>176</v>
      </c>
      <c r="E13" s="99" t="s">
        <v>143</v>
      </c>
      <c r="F13" s="28" t="s">
        <v>144</v>
      </c>
      <c r="G13" s="28" t="s">
        <v>174</v>
      </c>
      <c r="H13" s="101" t="s">
        <v>144</v>
      </c>
      <c r="I13" s="6"/>
      <c r="K13" s="30" t="s">
        <v>83</v>
      </c>
      <c r="L13" s="3">
        <f>Demonstrator!J46</f>
        <v>0</v>
      </c>
      <c r="M13">
        <f t="shared" si="0"/>
        <v>0</v>
      </c>
      <c r="N13">
        <f>Automation_page!K2</f>
        <v>-74.078021500000006</v>
      </c>
      <c r="O13">
        <f t="shared" si="3"/>
        <v>-74.078021500000006</v>
      </c>
      <c r="BT13" s="1"/>
      <c r="BU13" s="1"/>
      <c r="BV13" s="1"/>
      <c r="BW13" s="1"/>
      <c r="BX13" s="1"/>
      <c r="BY13" s="1"/>
      <c r="BZ13" s="51" t="s">
        <v>19</v>
      </c>
      <c r="CA13" s="50">
        <f>VLOOKUP(BZ13,K:O,5,FALSE)</f>
        <v>1</v>
      </c>
      <c r="CB13" s="59">
        <f>(VLOOKUP(CA13,$DC$3:$DF$4,4,FALSE))</f>
        <v>0</v>
      </c>
      <c r="CD13" s="1"/>
      <c r="CE13" s="1"/>
      <c r="CF13" s="1"/>
      <c r="CG13" s="1"/>
      <c r="CH13" s="1"/>
      <c r="CI13" s="1"/>
      <c r="CJ13" s="1"/>
      <c r="CK13" s="1"/>
      <c r="CS13" s="4" t="s">
        <v>17</v>
      </c>
      <c r="CT13" s="14">
        <f t="shared" si="2"/>
        <v>2</v>
      </c>
      <c r="CU13" s="14">
        <f>(VLOOKUP(CT13,$DC$46:$DE$47,3,FALSE))</f>
        <v>1</v>
      </c>
      <c r="CZ13" s="32" t="s">
        <v>150</v>
      </c>
      <c r="DA13" s="33" t="s">
        <v>33</v>
      </c>
      <c r="DB13" s="32" t="s">
        <v>112</v>
      </c>
      <c r="DC13" s="48">
        <v>1</v>
      </c>
      <c r="DD13" s="48" t="s">
        <v>24</v>
      </c>
      <c r="DE13" s="95"/>
      <c r="DF13" s="48">
        <v>1</v>
      </c>
      <c r="DH13" s="330"/>
      <c r="DI13" s="22">
        <f t="shared" si="5"/>
        <v>17500</v>
      </c>
      <c r="DK13" s="61">
        <f t="shared" si="4"/>
        <v>1.5007303518490003</v>
      </c>
      <c r="DL13" s="87"/>
      <c r="DU13" s="22"/>
    </row>
    <row r="14" spans="1:125" ht="16.05" customHeight="1" x14ac:dyDescent="0.3">
      <c r="A14" s="99">
        <v>12</v>
      </c>
      <c r="B14" s="99" t="s">
        <v>178</v>
      </c>
      <c r="C14" s="99" t="s">
        <v>142</v>
      </c>
      <c r="D14" s="99" t="s">
        <v>84</v>
      </c>
      <c r="E14" s="99" t="s">
        <v>143</v>
      </c>
      <c r="F14" s="28" t="s">
        <v>144</v>
      </c>
      <c r="G14" s="28" t="s">
        <v>145</v>
      </c>
      <c r="H14" s="101" t="s">
        <v>144</v>
      </c>
      <c r="I14" s="6"/>
      <c r="K14" s="30" t="s">
        <v>84</v>
      </c>
      <c r="L14" s="3" t="s">
        <v>104</v>
      </c>
      <c r="M14" t="str">
        <f t="shared" si="0"/>
        <v/>
      </c>
      <c r="O14" t="e">
        <f>IF($O$2="auto",#REF!,M14)</f>
        <v>#REF!</v>
      </c>
      <c r="BT14" s="1"/>
      <c r="BU14" s="1"/>
      <c r="BV14" s="1"/>
      <c r="BW14" s="1"/>
      <c r="BX14" s="1"/>
      <c r="CD14" s="1"/>
      <c r="CE14" s="1"/>
      <c r="CF14" s="1"/>
      <c r="CG14" s="1"/>
      <c r="CH14" s="1"/>
      <c r="CI14" s="1"/>
      <c r="CJ14" s="1"/>
      <c r="CK14" s="1"/>
      <c r="CS14" s="36" t="s">
        <v>21</v>
      </c>
      <c r="CT14" s="37">
        <f>VLOOKUP(CS14,K:O,5,FALSE)</f>
        <v>1</v>
      </c>
      <c r="CU14" s="37">
        <f>(VLOOKUP(CT14,$DC$48:$DE$49,3,FALSE))</f>
        <v>1</v>
      </c>
      <c r="DA14" s="34"/>
      <c r="DC14" s="48">
        <v>2</v>
      </c>
      <c r="DD14" s="48" t="s">
        <v>22</v>
      </c>
      <c r="DE14" s="95"/>
      <c r="DF14" s="48">
        <v>0</v>
      </c>
      <c r="DH14" s="108"/>
      <c r="DI14" s="22">
        <f t="shared" si="5"/>
        <v>20000</v>
      </c>
      <c r="DK14" s="61">
        <f t="shared" si="4"/>
        <v>1.6057814764784304</v>
      </c>
      <c r="DL14" s="87"/>
      <c r="DU14" s="22"/>
    </row>
    <row r="15" spans="1:125" ht="16.05" customHeight="1" x14ac:dyDescent="0.3">
      <c r="A15" s="99">
        <v>13</v>
      </c>
      <c r="B15" s="99" t="s">
        <v>179</v>
      </c>
      <c r="C15" s="99" t="s">
        <v>142</v>
      </c>
      <c r="D15" s="99" t="s">
        <v>11</v>
      </c>
      <c r="E15" s="99" t="s">
        <v>112</v>
      </c>
      <c r="F15" s="28">
        <v>1</v>
      </c>
      <c r="G15" s="28" t="s">
        <v>12</v>
      </c>
      <c r="H15" s="101">
        <f>F15</f>
        <v>1</v>
      </c>
      <c r="I15" s="6"/>
      <c r="K15" s="30" t="s">
        <v>11</v>
      </c>
      <c r="L15" s="3" t="str">
        <f>Demonstrator!E22</f>
        <v>Inner urban</v>
      </c>
      <c r="M15">
        <f>VLOOKUP(L15,G15:H18,2,FALSE)</f>
        <v>1</v>
      </c>
      <c r="N15">
        <f>Automation_page!M2</f>
        <v>2</v>
      </c>
      <c r="O15">
        <f>IF($O$2="auto",N15,M15)</f>
        <v>2</v>
      </c>
      <c r="BT15" s="1"/>
      <c r="BU15" s="1"/>
      <c r="BV15" s="1"/>
      <c r="BW15" s="1"/>
      <c r="BX15" s="1"/>
      <c r="CC15" s="1"/>
      <c r="CD15" s="1"/>
      <c r="CE15" s="1"/>
      <c r="CF15" s="1"/>
      <c r="CG15" s="1"/>
      <c r="CH15" s="1"/>
      <c r="CI15" s="1"/>
      <c r="CJ15" s="1"/>
      <c r="CK15" s="1"/>
      <c r="CZ15" s="32" t="s">
        <v>150</v>
      </c>
      <c r="DA15" s="33" t="s">
        <v>35</v>
      </c>
      <c r="DB15" s="32" t="s">
        <v>112</v>
      </c>
      <c r="DC15" s="47">
        <v>1</v>
      </c>
      <c r="DD15" s="47" t="s">
        <v>24</v>
      </c>
      <c r="DE15" s="96">
        <v>1</v>
      </c>
      <c r="DF15" s="48"/>
      <c r="DH15" s="108"/>
      <c r="DI15" s="22">
        <f t="shared" si="5"/>
        <v>22500</v>
      </c>
      <c r="DK15" s="61">
        <f t="shared" si="4"/>
        <v>1.7181861798319205</v>
      </c>
      <c r="DL15" s="87"/>
      <c r="DU15" s="22"/>
    </row>
    <row r="16" spans="1:125" ht="16.05" customHeight="1" x14ac:dyDescent="0.3">
      <c r="F16" s="28">
        <v>2</v>
      </c>
      <c r="G16" s="28" t="s">
        <v>180</v>
      </c>
      <c r="H16" s="101">
        <f t="shared" ref="H16:H84" si="6">F16</f>
        <v>2</v>
      </c>
      <c r="I16" s="6"/>
      <c r="K16" s="30" t="s">
        <v>15</v>
      </c>
      <c r="L16" s="3" t="str">
        <f>Demonstrator!E23</f>
        <v>Multi-use path</v>
      </c>
      <c r="M16">
        <f>VLOOKUP(L16,G19:H24,2,FALSE)</f>
        <v>2</v>
      </c>
      <c r="N16">
        <f>Automation_page!N2</f>
        <v>3</v>
      </c>
      <c r="O16">
        <f t="shared" ref="O16:O58" si="7">IF($O$2="auto",N16,M16)</f>
        <v>3</v>
      </c>
      <c r="BT16" s="1" t="s">
        <v>6</v>
      </c>
      <c r="BU16" s="1">
        <f>SUM(BX16,BX23,)</f>
        <v>13.996799999999999</v>
      </c>
      <c r="BV16" s="1"/>
      <c r="BW16" s="42" t="s">
        <v>166</v>
      </c>
      <c r="BX16" s="42">
        <f>IF(SUM(CB16:CB21)&gt;0,CD16,0)</f>
        <v>6.9983999999999993</v>
      </c>
      <c r="BY16" s="42"/>
      <c r="BZ16" s="39" t="s">
        <v>57</v>
      </c>
      <c r="CA16" s="42">
        <f t="shared" ref="CA16:CA21" si="8">VLOOKUP(BZ16,K:O,5,FALSE)</f>
        <v>1</v>
      </c>
      <c r="CB16" s="42">
        <f>(VLOOKUP(CA16,$DC$30:$DF$31,4,FALSE))</f>
        <v>1</v>
      </c>
      <c r="CC16" s="44"/>
      <c r="CD16" s="13">
        <f>(CJ3*PRODUCT(CH16:CH19))</f>
        <v>6.9983999999999993</v>
      </c>
      <c r="CE16" s="44"/>
      <c r="CF16" s="39" t="s">
        <v>52</v>
      </c>
      <c r="CG16" s="42">
        <f>VLOOKUP(CF16,K:O,5,FALSE)</f>
        <v>1</v>
      </c>
      <c r="CH16" s="42">
        <f>(VLOOKUP(CG16,$DC$73:$DE$74,3,FALSE))</f>
        <v>1</v>
      </c>
      <c r="CJ16" s="1"/>
      <c r="CK16" s="1"/>
      <c r="CL16" t="s">
        <v>181</v>
      </c>
      <c r="CM16">
        <f>IF(SUM(CQ16:CQ18)&gt;0,(PRODUCT(CU16:CU23)^(1+SUM(CQ16:CQ18)*0.1)),0)</f>
        <v>0</v>
      </c>
      <c r="CO16" s="38" t="s">
        <v>23</v>
      </c>
      <c r="CP16" s="42">
        <f>VLOOKUP(CO16,K:O,5,FALSE)</f>
        <v>2</v>
      </c>
      <c r="CQ16" s="42">
        <f>(VLOOKUP(CP16,$DC$5:$DF$6,4,FALSE))</f>
        <v>0</v>
      </c>
      <c r="CS16" s="38" t="s">
        <v>32</v>
      </c>
      <c r="CT16" s="40">
        <f t="shared" ref="CT16:CT23" si="9">VLOOKUP(CS16,K:O,5,FALSE)</f>
        <v>2</v>
      </c>
      <c r="CU16" s="40">
        <f>(VLOOKUP(CT16,$DC$56:$DE$57,3,FALSE))</f>
        <v>1</v>
      </c>
      <c r="DA16" s="34"/>
      <c r="DC16" s="47">
        <v>2</v>
      </c>
      <c r="DD16" s="47" t="s">
        <v>22</v>
      </c>
      <c r="DE16" s="96">
        <v>1.2</v>
      </c>
      <c r="DF16" s="48"/>
      <c r="DH16" s="108"/>
      <c r="DI16" s="22">
        <f t="shared" si="5"/>
        <v>25000</v>
      </c>
      <c r="DK16" s="61">
        <f t="shared" si="4"/>
        <v>1.8384592124201549</v>
      </c>
      <c r="DL16" s="87"/>
      <c r="DU16" s="22"/>
    </row>
    <row r="17" spans="1:125" ht="16.05" customHeight="1" x14ac:dyDescent="0.3">
      <c r="F17" s="28">
        <v>3</v>
      </c>
      <c r="G17" s="28" t="s">
        <v>182</v>
      </c>
      <c r="H17" s="101">
        <f t="shared" si="6"/>
        <v>3</v>
      </c>
      <c r="I17" s="5"/>
      <c r="K17" s="29" t="s">
        <v>19</v>
      </c>
      <c r="L17" s="3" t="str">
        <f>Demonstrator!E24</f>
        <v>Inadequate</v>
      </c>
      <c r="M17">
        <f>VLOOKUP(L17,G25:H26,2,FALSE)</f>
        <v>2</v>
      </c>
      <c r="N17">
        <f>Automation_page!O2</f>
        <v>1</v>
      </c>
      <c r="O17">
        <f t="shared" si="7"/>
        <v>1</v>
      </c>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T17" s="1"/>
      <c r="BU17" s="1" t="str">
        <f>IF(BU16&lt;=5,"Low",IF(AND(BU16&gt;5,BU16&lt;=10),"Medium",IF(AND(BU16&gt;10,BU16&lt;=20),"High","Extreme")))</f>
        <v>High</v>
      </c>
      <c r="BV17" s="1"/>
      <c r="BW17" s="1"/>
      <c r="BZ17" s="4" t="s">
        <v>71</v>
      </c>
      <c r="CA17">
        <f t="shared" si="8"/>
        <v>2</v>
      </c>
      <c r="CB17">
        <f>(VLOOKUP(CA17,$DC$40:$DF$41,4,FALSE))</f>
        <v>0</v>
      </c>
      <c r="CC17" s="1"/>
      <c r="CD17" s="1"/>
      <c r="CE17" s="1"/>
      <c r="CF17" s="4" t="s">
        <v>13</v>
      </c>
      <c r="CG17">
        <f>VLOOKUP(CF17,K:O,5,FALSE)</f>
        <v>1</v>
      </c>
      <c r="CH17">
        <f>(VLOOKUP(CG17,$DC$44:$DE$45,3,FALSE))</f>
        <v>1</v>
      </c>
      <c r="CJ17" s="1"/>
      <c r="CK17" s="1"/>
      <c r="CO17" s="4" t="s">
        <v>13</v>
      </c>
      <c r="CP17">
        <f>VLOOKUP(CO17,K:O,5,FALSE)</f>
        <v>1</v>
      </c>
      <c r="CQ17">
        <f>(VLOOKUP(CP17,$DC$44:$DF$45,4,FALSE))</f>
        <v>0</v>
      </c>
      <c r="CS17" s="4" t="s">
        <v>42</v>
      </c>
      <c r="CT17" s="14">
        <f t="shared" si="9"/>
        <v>2</v>
      </c>
      <c r="CU17" s="14">
        <f>(VLOOKUP(CT17,$DC$64:$DE$65,3,FALSE))</f>
        <v>1</v>
      </c>
      <c r="CZ17" s="32" t="s">
        <v>150</v>
      </c>
      <c r="DA17" s="33" t="s">
        <v>40</v>
      </c>
      <c r="DB17" s="32" t="s">
        <v>112</v>
      </c>
      <c r="DC17" s="232">
        <v>1</v>
      </c>
      <c r="DD17" s="232" t="s">
        <v>41</v>
      </c>
      <c r="DE17" s="233">
        <v>1.8</v>
      </c>
      <c r="DH17" s="108"/>
      <c r="DI17" s="22">
        <v>30000</v>
      </c>
      <c r="DK17" s="61">
        <f t="shared" si="4"/>
        <v>1.9671513572895658</v>
      </c>
      <c r="DL17" s="87"/>
      <c r="DU17" s="22"/>
    </row>
    <row r="18" spans="1:125" ht="16.05" customHeight="1" x14ac:dyDescent="0.3">
      <c r="F18" s="28">
        <v>4</v>
      </c>
      <c r="G18" s="28" t="s">
        <v>183</v>
      </c>
      <c r="H18" s="101">
        <f t="shared" si="6"/>
        <v>4</v>
      </c>
      <c r="K18" s="29" t="s">
        <v>23</v>
      </c>
      <c r="L18" s="3" t="str">
        <f>Demonstrator!E25</f>
        <v>Not present</v>
      </c>
      <c r="M18">
        <f>VLOOKUP(L18,G27:H28,2,FALSE)</f>
        <v>2</v>
      </c>
      <c r="N18">
        <f>Automation_page!P2</f>
        <v>2</v>
      </c>
      <c r="O18">
        <f t="shared" si="7"/>
        <v>2</v>
      </c>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T18" s="1"/>
      <c r="BU18" s="1"/>
      <c r="BV18" s="1"/>
      <c r="BW18" s="1"/>
      <c r="BZ18" s="4" t="s">
        <v>54</v>
      </c>
      <c r="CA18">
        <f t="shared" si="8"/>
        <v>2</v>
      </c>
      <c r="CB18">
        <f>(VLOOKUP(CA18,$DC$28:$DF$29,4,FALSE))</f>
        <v>0</v>
      </c>
      <c r="CC18" s="1"/>
      <c r="CD18" s="1"/>
      <c r="CE18" s="1"/>
      <c r="CF18" s="4" t="s">
        <v>54</v>
      </c>
      <c r="CG18">
        <f>VLOOKUP(CF18,K:O,5,FALSE)</f>
        <v>2</v>
      </c>
      <c r="CH18">
        <f>(VLOOKUP(CG18,$DC$28:$DE$29,3,FALSE))</f>
        <v>1</v>
      </c>
      <c r="CJ18" s="1"/>
      <c r="CK18" s="1"/>
      <c r="CL18" s="1"/>
      <c r="CO18" s="36" t="s">
        <v>17</v>
      </c>
      <c r="CP18" s="23">
        <f>VLOOKUP(CO18,K:O,5,FALSE)</f>
        <v>2</v>
      </c>
      <c r="CQ18" s="23">
        <f>(VLOOKUP(CP18,$DC$46:$DF$47,4,FALSE))</f>
        <v>0</v>
      </c>
      <c r="CS18" s="4" t="s">
        <v>27</v>
      </c>
      <c r="CT18" s="14">
        <f>VLOOKUP(CS18,K:O,5,FALSE)</f>
        <v>2</v>
      </c>
      <c r="CU18" s="14">
        <f>(VLOOKUP(CT18,$DC$52:$DE$53,3,FALSE))</f>
        <v>1</v>
      </c>
      <c r="DA18" s="34"/>
      <c r="DC18" s="232">
        <v>2</v>
      </c>
      <c r="DD18" s="242" t="s">
        <v>184</v>
      </c>
      <c r="DE18" s="233">
        <v>1.5</v>
      </c>
      <c r="DH18" s="108"/>
      <c r="DI18" s="22">
        <v>35000</v>
      </c>
      <c r="DK18" s="61">
        <f t="shared" si="4"/>
        <v>2.1048519522998355</v>
      </c>
      <c r="DL18" s="62"/>
      <c r="DM18" s="62"/>
      <c r="DU18" s="22"/>
    </row>
    <row r="19" spans="1:125" ht="16.05" customHeight="1" x14ac:dyDescent="0.3">
      <c r="A19" s="99">
        <v>14</v>
      </c>
      <c r="B19" s="99" t="s">
        <v>185</v>
      </c>
      <c r="C19" s="99" t="s">
        <v>150</v>
      </c>
      <c r="D19" s="99" t="s">
        <v>15</v>
      </c>
      <c r="E19" s="99" t="s">
        <v>112</v>
      </c>
      <c r="F19" s="28">
        <v>1</v>
      </c>
      <c r="G19" s="28" t="s">
        <v>153</v>
      </c>
      <c r="H19" s="101">
        <f t="shared" si="6"/>
        <v>1</v>
      </c>
      <c r="K19" s="29" t="s">
        <v>26</v>
      </c>
      <c r="L19" s="3" t="str">
        <f>Demonstrator!E26</f>
        <v>Not present</v>
      </c>
      <c r="M19">
        <f>VLOOKUP(L19,G29:H30,2,FALSE)</f>
        <v>2</v>
      </c>
      <c r="N19">
        <f>Automation_page!Q2</f>
        <v>2</v>
      </c>
      <c r="O19">
        <f t="shared" si="7"/>
        <v>2</v>
      </c>
      <c r="BT19" s="1"/>
      <c r="BU19" s="1"/>
      <c r="BV19" s="1"/>
      <c r="BW19" s="1"/>
      <c r="BZ19" s="4" t="s">
        <v>68</v>
      </c>
      <c r="CA19">
        <f t="shared" si="8"/>
        <v>2</v>
      </c>
      <c r="CB19">
        <f>(VLOOKUP(CA19,$DC$38:$DF$39,4,FALSE))</f>
        <v>0</v>
      </c>
      <c r="CC19" s="1"/>
      <c r="CD19" s="1"/>
      <c r="CE19" s="1"/>
      <c r="CF19" s="36" t="s">
        <v>68</v>
      </c>
      <c r="CG19" s="23">
        <f>VLOOKUP(CF19,K:O,5,FALSE)</f>
        <v>2</v>
      </c>
      <c r="CH19" s="23">
        <f>(VLOOKUP(CG19,$DC$38:$DE$39,3,FALSE))</f>
        <v>1</v>
      </c>
      <c r="CJ19" s="1"/>
      <c r="CK19" s="1"/>
      <c r="CL19" s="1"/>
      <c r="CS19" s="4" t="s">
        <v>25</v>
      </c>
      <c r="CT19" s="14">
        <f t="shared" si="9"/>
        <v>2</v>
      </c>
      <c r="CU19" s="14">
        <f>(VLOOKUP(CT19,$DC$50:$DE$51,3,FALSE))</f>
        <v>1</v>
      </c>
      <c r="DA19" s="34"/>
      <c r="DC19" s="232">
        <v>3</v>
      </c>
      <c r="DD19" s="242" t="s">
        <v>186</v>
      </c>
      <c r="DE19" s="233">
        <v>1</v>
      </c>
      <c r="DH19" s="108"/>
      <c r="DI19" s="22">
        <v>40000</v>
      </c>
      <c r="DK19" s="61">
        <f t="shared" si="4"/>
        <v>2.2521915889608239</v>
      </c>
      <c r="DL19" s="62"/>
      <c r="DM19" s="62"/>
      <c r="DU19" s="22"/>
    </row>
    <row r="20" spans="1:125" ht="16.05" customHeight="1" x14ac:dyDescent="0.25">
      <c r="F20" s="28">
        <v>2</v>
      </c>
      <c r="G20" s="28" t="s">
        <v>157</v>
      </c>
      <c r="H20" s="101">
        <f t="shared" si="6"/>
        <v>2</v>
      </c>
      <c r="K20" s="29" t="s">
        <v>28</v>
      </c>
      <c r="L20" s="3" t="str">
        <f>Demonstrator!E27</f>
        <v>Not present</v>
      </c>
      <c r="M20">
        <f>VLOOKUP(L20,G31:H32,2,FALSE)</f>
        <v>2</v>
      </c>
      <c r="N20">
        <f>Automation_page!R2</f>
        <v>2</v>
      </c>
      <c r="O20">
        <f t="shared" si="7"/>
        <v>2</v>
      </c>
      <c r="BT20" s="1"/>
      <c r="BU20" s="1"/>
      <c r="BV20" s="1"/>
      <c r="BW20" s="1"/>
      <c r="BY20" s="1"/>
      <c r="BZ20" s="4" t="s">
        <v>51</v>
      </c>
      <c r="CA20">
        <f t="shared" si="8"/>
        <v>2</v>
      </c>
      <c r="CB20">
        <f>(VLOOKUP(CA20,$DC$26:$DF$27,4,FALSE))</f>
        <v>0</v>
      </c>
      <c r="CC20" s="1"/>
      <c r="CD20" s="1"/>
      <c r="CE20" s="1"/>
      <c r="CF20" s="1"/>
      <c r="CG20" s="1"/>
      <c r="CH20" s="1"/>
      <c r="CI20" s="1"/>
      <c r="CJ20" s="1"/>
      <c r="CK20" s="1"/>
      <c r="CL20" s="1"/>
      <c r="CS20" s="4" t="s">
        <v>40</v>
      </c>
      <c r="CT20" s="14">
        <f t="shared" si="9"/>
        <v>1</v>
      </c>
      <c r="CU20" s="14">
        <f>(VLOOKUP(CT20,$DC$17:$DE$19,3,FALSE))</f>
        <v>1.8</v>
      </c>
      <c r="CZ20" s="32" t="s">
        <v>150</v>
      </c>
      <c r="DA20" s="33" t="s">
        <v>43</v>
      </c>
      <c r="DB20" s="32" t="s">
        <v>112</v>
      </c>
      <c r="DC20" s="47">
        <v>1</v>
      </c>
      <c r="DD20" s="47" t="s">
        <v>187</v>
      </c>
      <c r="DE20" s="96">
        <v>1</v>
      </c>
      <c r="DL20" s="62"/>
      <c r="DM20" s="62"/>
    </row>
    <row r="21" spans="1:125" ht="16.05" customHeight="1" x14ac:dyDescent="0.3">
      <c r="F21" s="28">
        <v>3</v>
      </c>
      <c r="G21" s="28" t="s">
        <v>16</v>
      </c>
      <c r="H21" s="101">
        <f t="shared" si="6"/>
        <v>3</v>
      </c>
      <c r="K21" s="29" t="s">
        <v>31</v>
      </c>
      <c r="L21" s="3" t="str">
        <f>Demonstrator!E28</f>
        <v>Not present</v>
      </c>
      <c r="M21">
        <f>VLOOKUP(L21,G33:H34,2,FALSE)</f>
        <v>2</v>
      </c>
      <c r="N21">
        <f>Automation_page!S2</f>
        <v>2</v>
      </c>
      <c r="O21">
        <f t="shared" si="7"/>
        <v>2</v>
      </c>
      <c r="BT21" s="1"/>
      <c r="BU21" s="1"/>
      <c r="BV21" s="1"/>
      <c r="BZ21" s="36" t="s">
        <v>66</v>
      </c>
      <c r="CA21" s="23">
        <f t="shared" si="8"/>
        <v>2</v>
      </c>
      <c r="CB21">
        <f>(VLOOKUP(CA21,$DC$36:$DF$37,4,FALSE))</f>
        <v>0</v>
      </c>
      <c r="CD21" s="1"/>
      <c r="CE21" s="1"/>
      <c r="CF21" s="1"/>
      <c r="CG21" s="1"/>
      <c r="CH21" s="1"/>
      <c r="CI21" s="1"/>
      <c r="CJ21" s="1"/>
      <c r="CK21" s="1"/>
      <c r="CL21" s="1"/>
      <c r="CS21" s="4" t="s">
        <v>43</v>
      </c>
      <c r="CT21" s="14">
        <f t="shared" si="9"/>
        <v>2</v>
      </c>
      <c r="CU21" s="14">
        <f>(VLOOKUP(CT21,$DC$20:$DE$21,3,FALSE))</f>
        <v>1.5</v>
      </c>
      <c r="DA21" s="34"/>
      <c r="DC21" s="47">
        <v>2</v>
      </c>
      <c r="DD21" s="47" t="s">
        <v>44</v>
      </c>
      <c r="DE21" s="96">
        <v>1.5</v>
      </c>
      <c r="DL21" s="62"/>
      <c r="DM21" s="62"/>
    </row>
    <row r="22" spans="1:125" ht="16.05" customHeight="1" x14ac:dyDescent="0.25">
      <c r="F22" s="28">
        <v>4</v>
      </c>
      <c r="G22" s="28" t="s">
        <v>160</v>
      </c>
      <c r="H22" s="101">
        <f t="shared" si="6"/>
        <v>4</v>
      </c>
      <c r="I22" s="5"/>
      <c r="K22" s="29" t="s">
        <v>33</v>
      </c>
      <c r="L22" s="3" t="str">
        <f>Demonstrator!E29</f>
        <v>Not present</v>
      </c>
      <c r="M22">
        <f>VLOOKUP(L22,G35:H36,2,FALSE)</f>
        <v>2</v>
      </c>
      <c r="N22">
        <f>Automation_page!T2</f>
        <v>2</v>
      </c>
      <c r="O22">
        <f t="shared" si="7"/>
        <v>2</v>
      </c>
      <c r="BT22" s="1"/>
      <c r="BU22" s="1"/>
      <c r="BV22" s="1"/>
      <c r="CJ22" s="1"/>
      <c r="CK22" s="1"/>
      <c r="CL22" s="1"/>
      <c r="CS22" s="4" t="s">
        <v>52</v>
      </c>
      <c r="CT22" s="14">
        <f t="shared" si="9"/>
        <v>1</v>
      </c>
      <c r="CU22" s="14">
        <f>(VLOOKUP(CT22,$DC$73:$DE$74,3,FALSE))</f>
        <v>1</v>
      </c>
      <c r="CZ22" s="32" t="s">
        <v>150</v>
      </c>
      <c r="DA22" s="33" t="s">
        <v>47</v>
      </c>
      <c r="DB22" s="32" t="s">
        <v>112</v>
      </c>
      <c r="DC22" s="47">
        <v>1</v>
      </c>
      <c r="DD22" s="47" t="s">
        <v>24</v>
      </c>
      <c r="DE22" s="96">
        <v>1.2</v>
      </c>
      <c r="DH22" s="230"/>
      <c r="DI22"/>
      <c r="DJ22" s="230"/>
      <c r="DK22" s="230"/>
      <c r="DL22" s="62"/>
      <c r="DM22" s="62"/>
    </row>
    <row r="23" spans="1:125" ht="16.05" customHeight="1" x14ac:dyDescent="0.25">
      <c r="F23" s="28">
        <v>5</v>
      </c>
      <c r="G23" s="28" t="s">
        <v>163</v>
      </c>
      <c r="H23" s="101">
        <f t="shared" si="6"/>
        <v>5</v>
      </c>
      <c r="K23" s="29" t="s">
        <v>35</v>
      </c>
      <c r="L23" s="3" t="str">
        <f>Demonstrator!E30</f>
        <v>Present</v>
      </c>
      <c r="M23">
        <f>VLOOKUP(L23,G37:H38,2,FALSE)</f>
        <v>1</v>
      </c>
      <c r="N23">
        <f>Automation_page!U2</f>
        <v>2</v>
      </c>
      <c r="O23">
        <f t="shared" si="7"/>
        <v>2</v>
      </c>
      <c r="BT23" s="1"/>
      <c r="BU23" s="1"/>
      <c r="BV23" s="1"/>
      <c r="BW23" t="s">
        <v>188</v>
      </c>
      <c r="BX23">
        <f>CD23</f>
        <v>6.9983999999999993</v>
      </c>
      <c r="BY23" s="1"/>
      <c r="BZ23" s="1"/>
      <c r="CA23" s="1"/>
      <c r="CB23" s="1"/>
      <c r="CC23" s="1"/>
      <c r="CD23" s="1">
        <f>(CJ3+CJ25)*PRODUCT(CH23:CH24)</f>
        <v>6.9983999999999993</v>
      </c>
      <c r="CE23" s="1"/>
      <c r="CF23" s="38" t="s">
        <v>52</v>
      </c>
      <c r="CG23" s="42">
        <f>VLOOKUP(CF23,K:O,5,FALSE)</f>
        <v>1</v>
      </c>
      <c r="CH23" s="42">
        <f>(VLOOKUP(CG23,$DC$73:$DE$74,3,FALSE))</f>
        <v>1</v>
      </c>
      <c r="CI23" s="1"/>
      <c r="CJ23" s="1"/>
      <c r="CL23" s="1"/>
      <c r="CS23" s="36" t="s">
        <v>47</v>
      </c>
      <c r="CT23" s="23">
        <f t="shared" si="9"/>
        <v>2</v>
      </c>
      <c r="CU23" s="23">
        <f>(VLOOKUP(CT23,$DC$22:$DE$23,3,FALSE))</f>
        <v>1</v>
      </c>
      <c r="DC23" s="47">
        <v>2</v>
      </c>
      <c r="DD23" s="47" t="s">
        <v>22</v>
      </c>
      <c r="DE23" s="96">
        <v>1</v>
      </c>
      <c r="DH23" s="230"/>
      <c r="DI23"/>
      <c r="DL23" s="62"/>
      <c r="DM23" s="62"/>
    </row>
    <row r="24" spans="1:125" ht="16.05" customHeight="1" x14ac:dyDescent="0.25">
      <c r="F24" s="28">
        <v>6</v>
      </c>
      <c r="G24" s="28" t="s">
        <v>167</v>
      </c>
      <c r="H24" s="101">
        <f t="shared" si="6"/>
        <v>6</v>
      </c>
      <c r="I24" s="7"/>
      <c r="K24" s="29" t="s">
        <v>38</v>
      </c>
      <c r="L24" s="3" t="str">
        <f>Demonstrator!E31</f>
        <v>Present</v>
      </c>
      <c r="M24">
        <f>VLOOKUP(L24,G39:H40,2,FALSE)</f>
        <v>1</v>
      </c>
      <c r="N24">
        <f>Automation_page!V2</f>
        <v>1</v>
      </c>
      <c r="O24">
        <f>IF($O$2="auto",N24,M24)</f>
        <v>1</v>
      </c>
      <c r="BW24" s="43"/>
      <c r="BX24" s="43"/>
      <c r="BY24" s="43"/>
      <c r="BZ24" s="23"/>
      <c r="CA24" s="43"/>
      <c r="CB24" s="43"/>
      <c r="CC24" s="43"/>
      <c r="CD24" s="43"/>
      <c r="CE24" s="43"/>
      <c r="CF24" s="36" t="s">
        <v>13</v>
      </c>
      <c r="CG24" s="23">
        <f>VLOOKUP(CF24,K:O,5,FALSE)</f>
        <v>1</v>
      </c>
      <c r="CH24" s="23">
        <f>(VLOOKUP(CG24,$DC$44:$DE$45,3,FALSE))</f>
        <v>1</v>
      </c>
      <c r="CK24" s="1"/>
      <c r="CL24" s="1"/>
      <c r="CS24" s="41"/>
      <c r="CZ24" s="32" t="s">
        <v>150</v>
      </c>
      <c r="DA24" s="32" t="s">
        <v>49</v>
      </c>
      <c r="DB24" s="32" t="s">
        <v>112</v>
      </c>
      <c r="DC24" s="48">
        <v>1</v>
      </c>
      <c r="DD24" s="48" t="s">
        <v>24</v>
      </c>
      <c r="DE24" s="95"/>
      <c r="DF24" s="48">
        <v>1</v>
      </c>
      <c r="DH24" s="230"/>
      <c r="DL24" s="62"/>
      <c r="DM24" s="62"/>
    </row>
    <row r="25" spans="1:125" ht="16.05" customHeight="1" x14ac:dyDescent="0.25">
      <c r="A25" s="99">
        <v>15</v>
      </c>
      <c r="B25" s="99" t="s">
        <v>189</v>
      </c>
      <c r="C25" s="99" t="s">
        <v>150</v>
      </c>
      <c r="D25" s="102" t="s">
        <v>19</v>
      </c>
      <c r="E25" s="99" t="s">
        <v>112</v>
      </c>
      <c r="F25" s="28">
        <v>1</v>
      </c>
      <c r="G25" s="28" t="s">
        <v>151</v>
      </c>
      <c r="H25" s="101">
        <f>F25</f>
        <v>1</v>
      </c>
      <c r="I25" s="8"/>
      <c r="K25" s="29" t="s">
        <v>40</v>
      </c>
      <c r="L25" s="3" t="str">
        <f>Demonstrator!E32</f>
        <v>Narrow</v>
      </c>
      <c r="M25">
        <f>VLOOKUP(L25,G41:H43,2,FALSE)</f>
        <v>2</v>
      </c>
      <c r="N25">
        <f>Automation_page!W2</f>
        <v>1</v>
      </c>
      <c r="O25">
        <f t="shared" si="7"/>
        <v>1</v>
      </c>
      <c r="BT25" s="1"/>
      <c r="BU25" s="1"/>
      <c r="BV25" s="1"/>
      <c r="BW25" s="1"/>
      <c r="BX25" s="1"/>
      <c r="BY25" s="1"/>
      <c r="BZ25" s="1"/>
      <c r="CA25" s="1"/>
      <c r="CB25" s="1"/>
      <c r="CC25" s="1"/>
      <c r="CD25" s="1"/>
      <c r="CE25" s="1"/>
      <c r="CF25" s="1"/>
      <c r="CG25" s="1"/>
      <c r="CH25" s="1"/>
      <c r="CI25" s="1"/>
      <c r="CJ25" s="110">
        <f>CM25</f>
        <v>0</v>
      </c>
      <c r="CK25" s="1"/>
      <c r="CL25" s="110" t="s">
        <v>190</v>
      </c>
      <c r="CM25">
        <f>IF(SUM(CQ25:CQ26)&gt;0,(PRODUCT(CU25:CU30)^(1+SUM(CQ25:CQ26)*0.1)),0)</f>
        <v>0</v>
      </c>
      <c r="CO25" s="38" t="s">
        <v>26</v>
      </c>
      <c r="CP25" s="40">
        <f>VLOOKUP(CO25,K:O,5,FALSE)</f>
        <v>2</v>
      </c>
      <c r="CQ25" s="42">
        <f>(VLOOKUP(CP25,$DC$7:$DF$8,4,FALSE))</f>
        <v>0</v>
      </c>
      <c r="CS25" s="39" t="s">
        <v>21</v>
      </c>
      <c r="CT25" s="40">
        <f t="shared" ref="CT25:CT30" si="10">VLOOKUP(CS25,K:O,5,FALSE)</f>
        <v>1</v>
      </c>
      <c r="CU25" s="40">
        <f>(VLOOKUP(CT25,$DC$48:$DE$49,3,FALSE))</f>
        <v>1</v>
      </c>
      <c r="DC25" s="48">
        <v>2</v>
      </c>
      <c r="DD25" s="48" t="s">
        <v>22</v>
      </c>
      <c r="DE25" s="95"/>
      <c r="DF25" s="48">
        <v>0</v>
      </c>
      <c r="DH25" s="230"/>
      <c r="DL25" s="62"/>
      <c r="DM25" s="62"/>
    </row>
    <row r="26" spans="1:125" ht="16.05" customHeight="1" x14ac:dyDescent="0.25">
      <c r="D26" s="103"/>
      <c r="F26" s="28">
        <v>2</v>
      </c>
      <c r="G26" s="28" t="s">
        <v>20</v>
      </c>
      <c r="H26" s="101">
        <f>F26</f>
        <v>2</v>
      </c>
      <c r="I26" s="8"/>
      <c r="K26" s="29" t="s">
        <v>43</v>
      </c>
      <c r="L26" s="3" t="str">
        <f>Demonstrator!E33</f>
        <v>Two way</v>
      </c>
      <c r="M26">
        <f>VLOOKUP(L26,G44:H45,2,FALSE)</f>
        <v>2</v>
      </c>
      <c r="N26">
        <f>Automation_page!X2</f>
        <v>2</v>
      </c>
      <c r="O26">
        <f t="shared" si="7"/>
        <v>2</v>
      </c>
      <c r="BT26" s="1" t="s">
        <v>93</v>
      </c>
      <c r="BU26" s="1">
        <f>SUM(BX26,BX32,BX40,BX45,BX49)</f>
        <v>0</v>
      </c>
      <c r="BV26" s="1"/>
      <c r="BW26" s="42" t="s">
        <v>188</v>
      </c>
      <c r="BX26" s="42">
        <f>IF(SUM(CB26:CB29)&gt;0,CD26,0)</f>
        <v>0</v>
      </c>
      <c r="BY26" s="44"/>
      <c r="BZ26" s="39" t="s">
        <v>49</v>
      </c>
      <c r="CA26" s="42">
        <f>VLOOKUP(BZ26,K:O,5,FALSE)</f>
        <v>2</v>
      </c>
      <c r="CB26" s="42">
        <f>(VLOOKUP(CA26,$DC$24:$DF$25,4,FALSE))</f>
        <v>0</v>
      </c>
      <c r="CC26" s="1"/>
      <c r="CD26" s="109" t="e">
        <f ca="1">(CJ3+CJ25)*PRODUCT(CH26:CH28)</f>
        <v>#N/A</v>
      </c>
      <c r="CE26" s="1"/>
      <c r="CF26" s="39" t="s">
        <v>58</v>
      </c>
      <c r="CG26" s="42">
        <f>VLOOKUP(CF26,K:O,5,FALSE)</f>
        <v>39500</v>
      </c>
      <c r="CH26" s="42">
        <f>(VLOOKUP(CG26,$DI$3:$DK$19,3,TRUE))</f>
        <v>2.1048519522998355</v>
      </c>
      <c r="CI26" s="1"/>
      <c r="CJ26" s="1"/>
      <c r="CK26" s="1"/>
      <c r="CL26" s="1"/>
      <c r="CO26" s="36" t="s">
        <v>28</v>
      </c>
      <c r="CP26" s="23">
        <f>VLOOKUP(CO26,K:O,5,FALSE)</f>
        <v>2</v>
      </c>
      <c r="CQ26" s="23">
        <f>(VLOOKUP(CP26,$DC$9:$DF$10,4,FALSE))</f>
        <v>0</v>
      </c>
      <c r="CS26" s="4" t="s">
        <v>52</v>
      </c>
      <c r="CT26" s="14">
        <f t="shared" si="10"/>
        <v>1</v>
      </c>
      <c r="CU26" s="14">
        <f>(VLOOKUP(CT26,$DC$73:$DE$74,3,FALSE))</f>
        <v>1</v>
      </c>
      <c r="CZ26" s="32" t="s">
        <v>150</v>
      </c>
      <c r="DA26" s="32" t="s">
        <v>51</v>
      </c>
      <c r="DB26" s="32" t="s">
        <v>112</v>
      </c>
      <c r="DC26" s="47">
        <v>1</v>
      </c>
      <c r="DD26" s="47" t="s">
        <v>24</v>
      </c>
      <c r="DE26" s="96">
        <v>1.5</v>
      </c>
      <c r="DF26" s="48">
        <v>1</v>
      </c>
      <c r="DH26" s="230"/>
      <c r="DI26"/>
      <c r="DJ26" s="230"/>
      <c r="DK26" s="230"/>
      <c r="DL26" s="62"/>
      <c r="DM26" s="62"/>
    </row>
    <row r="27" spans="1:125" ht="16.05" customHeight="1" x14ac:dyDescent="0.25">
      <c r="A27" s="99">
        <v>16</v>
      </c>
      <c r="B27" s="99" t="s">
        <v>191</v>
      </c>
      <c r="C27" s="99" t="s">
        <v>150</v>
      </c>
      <c r="D27" s="102" t="s">
        <v>23</v>
      </c>
      <c r="E27" s="99" t="s">
        <v>112</v>
      </c>
      <c r="F27" s="28">
        <v>1</v>
      </c>
      <c r="G27" s="28" t="s">
        <v>24</v>
      </c>
      <c r="H27" s="101">
        <f t="shared" si="6"/>
        <v>1</v>
      </c>
      <c r="I27" s="8"/>
      <c r="K27" s="29" t="s">
        <v>47</v>
      </c>
      <c r="L27" s="3" t="str">
        <f>Demonstrator!E34</f>
        <v>Not present</v>
      </c>
      <c r="M27">
        <f>VLOOKUP(L27,G46:H47,2,FALSE)</f>
        <v>2</v>
      </c>
      <c r="N27">
        <f>Automation_page!Y2</f>
        <v>2</v>
      </c>
      <c r="O27">
        <f t="shared" si="7"/>
        <v>2</v>
      </c>
      <c r="BT27" s="1"/>
      <c r="BU27" s="1" t="str">
        <f>IF(BU26&lt;=10,"Low",IF(AND(BU26&gt;10,BU26&lt;=25),"Medium",IF(AND(BU26&gt;25,BU26&lt;=60),"High","Extreme")))</f>
        <v>Low</v>
      </c>
      <c r="BV27" s="1"/>
      <c r="BW27" s="1"/>
      <c r="BX27" s="1"/>
      <c r="BY27" s="1"/>
      <c r="BZ27" s="4" t="s">
        <v>32</v>
      </c>
      <c r="CA27">
        <f>VLOOKUP(BZ27,K:O,5,FALSE)</f>
        <v>2</v>
      </c>
      <c r="CB27">
        <f>(VLOOKUP(CA27,$DC$56:$DF$57,4,FALSE))</f>
        <v>0</v>
      </c>
      <c r="CC27" s="1"/>
      <c r="CD27" s="1" t="e">
        <f ca="1">(CJ3)*PRODUCT(CH26:CH30)</f>
        <v>#N/A</v>
      </c>
      <c r="CE27" s="1"/>
      <c r="CF27" s="4" t="s">
        <v>67</v>
      </c>
      <c r="CG27">
        <f>VLOOKUP(CF27,K:O,5,FALSE)</f>
        <v>42.47</v>
      </c>
      <c r="CH27" t="e">
        <f ca="1">DB88</f>
        <v>#N/A</v>
      </c>
      <c r="CI27" s="1"/>
      <c r="CJ27" s="1"/>
      <c r="CK27" s="1"/>
      <c r="CL27" s="1"/>
      <c r="CS27" s="4" t="s">
        <v>13</v>
      </c>
      <c r="CT27" s="14">
        <f t="shared" si="10"/>
        <v>1</v>
      </c>
      <c r="CU27" s="14">
        <f>(VLOOKUP(CT27,$DC$44:$DE$45,3,FALSE))</f>
        <v>1</v>
      </c>
      <c r="DC27" s="47">
        <v>2</v>
      </c>
      <c r="DD27" s="47" t="s">
        <v>22</v>
      </c>
      <c r="DE27" s="96">
        <v>1</v>
      </c>
      <c r="DF27" s="48">
        <v>0</v>
      </c>
      <c r="DH27" s="230"/>
      <c r="DI27"/>
      <c r="DL27" s="62"/>
      <c r="DM27" s="62"/>
    </row>
    <row r="28" spans="1:125" ht="16.05" customHeight="1" x14ac:dyDescent="0.25">
      <c r="D28" s="103"/>
      <c r="F28" s="28">
        <v>2</v>
      </c>
      <c r="G28" s="28" t="s">
        <v>22</v>
      </c>
      <c r="H28" s="101">
        <f t="shared" si="6"/>
        <v>2</v>
      </c>
      <c r="I28" s="8"/>
      <c r="K28" s="29" t="s">
        <v>49</v>
      </c>
      <c r="L28" s="3" t="str">
        <f>Demonstrator!E35</f>
        <v>Not present</v>
      </c>
      <c r="M28">
        <f>VLOOKUP(L28,G48:H49,2,FALSE)</f>
        <v>2</v>
      </c>
      <c r="N28">
        <f>Automation_page!Z2</f>
        <v>2</v>
      </c>
      <c r="O28">
        <f t="shared" si="7"/>
        <v>2</v>
      </c>
      <c r="BV28" s="1"/>
      <c r="BW28" s="1"/>
      <c r="BX28" s="1"/>
      <c r="BY28" s="1"/>
      <c r="BZ28" s="4" t="s">
        <v>15</v>
      </c>
      <c r="CA28">
        <f>VLOOKUP(BZ28,K:O,5,FALSE)</f>
        <v>3</v>
      </c>
      <c r="CB28">
        <f>(VLOOKUP(CA28,$DN$3:$DR$8,5,FALSE))</f>
        <v>0</v>
      </c>
      <c r="CC28" s="1"/>
      <c r="CD28" s="1"/>
      <c r="CE28" s="1"/>
      <c r="CF28" s="4" t="s">
        <v>62</v>
      </c>
      <c r="CG28">
        <f>VLOOKUP(CF28,K:O,5,FALSE)</f>
        <v>2</v>
      </c>
      <c r="CH28">
        <f>(VLOOKUP(CG28,$DC$77:$DE$78,3,FALSE))</f>
        <v>1.2</v>
      </c>
      <c r="CI28" s="1"/>
      <c r="CJ28" s="1"/>
      <c r="CK28" s="1"/>
      <c r="CL28" s="1"/>
      <c r="CS28" s="4" t="s">
        <v>40</v>
      </c>
      <c r="CT28" s="14">
        <f t="shared" si="10"/>
        <v>1</v>
      </c>
      <c r="CU28" s="14">
        <f>(VLOOKUP(CT28,$DC$17:$DE$19,3,FALSE))</f>
        <v>1.8</v>
      </c>
      <c r="CZ28" s="32" t="s">
        <v>150</v>
      </c>
      <c r="DA28" s="32" t="s">
        <v>54</v>
      </c>
      <c r="DB28" s="32" t="s">
        <v>112</v>
      </c>
      <c r="DC28" s="47">
        <v>1</v>
      </c>
      <c r="DD28" s="47" t="s">
        <v>24</v>
      </c>
      <c r="DE28" s="96">
        <v>1.8</v>
      </c>
      <c r="DF28" s="48">
        <v>1</v>
      </c>
      <c r="DH28" s="230"/>
      <c r="DL28" s="62"/>
      <c r="DM28" s="62"/>
    </row>
    <row r="29" spans="1:125" ht="16.05" customHeight="1" x14ac:dyDescent="0.25">
      <c r="A29" s="99">
        <v>17</v>
      </c>
      <c r="B29" s="99" t="s">
        <v>192</v>
      </c>
      <c r="C29" s="99" t="s">
        <v>150</v>
      </c>
      <c r="D29" s="102" t="s">
        <v>26</v>
      </c>
      <c r="E29" s="99" t="s">
        <v>112</v>
      </c>
      <c r="F29" s="28">
        <v>1</v>
      </c>
      <c r="G29" s="28" t="s">
        <v>24</v>
      </c>
      <c r="H29" s="101">
        <f t="shared" si="6"/>
        <v>1</v>
      </c>
      <c r="I29" s="8"/>
      <c r="K29" s="29" t="s">
        <v>51</v>
      </c>
      <c r="L29" s="3" t="str">
        <f>Demonstrator!E36</f>
        <v>Not present</v>
      </c>
      <c r="M29">
        <f>VLOOKUP(L29,G50:H51,2,FALSE)</f>
        <v>2</v>
      </c>
      <c r="N29">
        <f>Automation_page!AA2</f>
        <v>2</v>
      </c>
      <c r="O29">
        <f t="shared" si="7"/>
        <v>2</v>
      </c>
      <c r="BT29" s="1"/>
      <c r="BU29" s="1"/>
      <c r="BV29" s="1"/>
      <c r="BW29" s="1"/>
      <c r="BX29" s="1"/>
      <c r="BY29" s="1"/>
      <c r="BZ29" s="36" t="s">
        <v>29</v>
      </c>
      <c r="CA29" s="23">
        <f>VLOOKUP(BZ29,K:O,5,FALSE)</f>
        <v>2</v>
      </c>
      <c r="CB29" s="23">
        <f>(VLOOKUP(CA29,$DC$54:$DF$55,4,FALSE))</f>
        <v>0</v>
      </c>
      <c r="CC29" s="1"/>
      <c r="CD29" s="1"/>
      <c r="CE29" s="1"/>
      <c r="CF29" s="4" t="s">
        <v>63</v>
      </c>
      <c r="CG29">
        <f t="shared" ref="CG29:CG30" si="11">VLOOKUP(CF29,K:O,5,FALSE)</f>
        <v>2</v>
      </c>
      <c r="CH29">
        <f>(VLOOKUP(CG29,$DC$34:$DE$35,3,FALSE))</f>
        <v>1</v>
      </c>
      <c r="CI29" s="1"/>
      <c r="CJ29" s="1"/>
      <c r="CK29" s="1"/>
      <c r="CL29" s="1"/>
      <c r="CS29" s="4" t="s">
        <v>43</v>
      </c>
      <c r="CT29" s="14">
        <f t="shared" si="10"/>
        <v>2</v>
      </c>
      <c r="CU29" s="14">
        <f>(VLOOKUP(CT29,$DC$20:$DE$21,3,FALSE))</f>
        <v>1.5</v>
      </c>
      <c r="DC29" s="47">
        <v>2</v>
      </c>
      <c r="DD29" s="47" t="s">
        <v>22</v>
      </c>
      <c r="DE29" s="96">
        <v>1</v>
      </c>
      <c r="DF29" s="48">
        <v>0</v>
      </c>
      <c r="DH29" s="230"/>
      <c r="DL29" s="62"/>
      <c r="DM29" s="62"/>
    </row>
    <row r="30" spans="1:125" ht="16.05" customHeight="1" x14ac:dyDescent="0.25">
      <c r="D30" s="103"/>
      <c r="F30" s="28">
        <v>2</v>
      </c>
      <c r="G30" s="28" t="s">
        <v>22</v>
      </c>
      <c r="H30" s="101">
        <f t="shared" si="6"/>
        <v>2</v>
      </c>
      <c r="I30" s="7"/>
      <c r="K30" s="29" t="s">
        <v>54</v>
      </c>
      <c r="L30" s="3" t="str">
        <f>Demonstrator!E37</f>
        <v>Not present</v>
      </c>
      <c r="M30">
        <f>VLOOKUP(L30,G50:H51,2,FALSE)</f>
        <v>2</v>
      </c>
      <c r="N30">
        <f>Automation_page!AB2</f>
        <v>2</v>
      </c>
      <c r="O30">
        <f t="shared" si="7"/>
        <v>2</v>
      </c>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T30" s="1"/>
      <c r="BU30" s="1"/>
      <c r="BV30" s="1"/>
      <c r="BW30" s="1"/>
      <c r="BX30" s="1"/>
      <c r="BY30" s="1"/>
      <c r="CC30" s="1"/>
      <c r="CD30" s="1"/>
      <c r="CE30" s="1"/>
      <c r="CF30" s="36" t="s">
        <v>15</v>
      </c>
      <c r="CG30" s="23">
        <f t="shared" si="11"/>
        <v>3</v>
      </c>
      <c r="CH30" s="23">
        <f>(VLOOKUP(CG30,$DN$3:$DS$8,6,FALSE))</f>
        <v>0.8</v>
      </c>
      <c r="CI30" s="1"/>
      <c r="CJ30" s="1"/>
      <c r="CL30" s="1"/>
      <c r="CS30" s="51" t="s">
        <v>26</v>
      </c>
      <c r="CT30" s="50">
        <f t="shared" si="10"/>
        <v>2</v>
      </c>
      <c r="CU30" s="50">
        <f>(VLOOKUP(CT30,$DC$7:$DE$8,3,FALSE))</f>
        <v>1</v>
      </c>
      <c r="CZ30" s="32" t="s">
        <v>150</v>
      </c>
      <c r="DA30" s="32" t="s">
        <v>57</v>
      </c>
      <c r="DB30" s="32" t="s">
        <v>112</v>
      </c>
      <c r="DC30" s="48">
        <v>1</v>
      </c>
      <c r="DD30" s="48" t="s">
        <v>24</v>
      </c>
      <c r="DE30" s="95"/>
      <c r="DF30" s="48">
        <v>1</v>
      </c>
      <c r="DL30" s="62"/>
      <c r="DM30" s="62"/>
    </row>
    <row r="31" spans="1:125" ht="16.05" customHeight="1" x14ac:dyDescent="0.25">
      <c r="A31" s="99">
        <v>18</v>
      </c>
      <c r="B31" s="99" t="s">
        <v>193</v>
      </c>
      <c r="C31" s="99" t="s">
        <v>150</v>
      </c>
      <c r="D31" s="102" t="s">
        <v>28</v>
      </c>
      <c r="E31" s="99" t="s">
        <v>112</v>
      </c>
      <c r="F31" s="28">
        <v>1</v>
      </c>
      <c r="G31" s="28" t="s">
        <v>24</v>
      </c>
      <c r="H31" s="101">
        <f t="shared" si="6"/>
        <v>1</v>
      </c>
      <c r="I31" s="8"/>
      <c r="K31" s="29" t="s">
        <v>57</v>
      </c>
      <c r="L31" s="3" t="str">
        <f>Demonstrator!E38</f>
        <v>Not present</v>
      </c>
      <c r="M31">
        <f>VLOOKUP(L31,G54:H55,2,FALSE)</f>
        <v>2</v>
      </c>
      <c r="N31">
        <f>Automation_page!AC2</f>
        <v>1</v>
      </c>
      <c r="O31">
        <f t="shared" si="7"/>
        <v>1</v>
      </c>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T31" s="1"/>
      <c r="BU31" s="1"/>
      <c r="BV31" s="1"/>
      <c r="BW31" s="1"/>
      <c r="BX31" s="1"/>
      <c r="BY31" s="1"/>
      <c r="BZ31" s="1"/>
      <c r="CA31" s="1"/>
      <c r="CC31" s="1"/>
      <c r="CD31" s="1"/>
      <c r="CE31" s="1"/>
      <c r="CF31" s="1"/>
      <c r="CG31" s="1"/>
      <c r="CH31" s="1"/>
      <c r="CI31" s="1"/>
      <c r="CJ31" s="1"/>
      <c r="CL31" s="1"/>
      <c r="DC31" s="48">
        <v>2</v>
      </c>
      <c r="DD31" s="48" t="s">
        <v>22</v>
      </c>
      <c r="DE31" s="95"/>
      <c r="DF31" s="48">
        <v>0</v>
      </c>
      <c r="DL31" s="62"/>
      <c r="DM31" s="62"/>
    </row>
    <row r="32" spans="1:125" ht="16.05" customHeight="1" x14ac:dyDescent="0.25">
      <c r="D32" s="103"/>
      <c r="F32" s="28">
        <v>2</v>
      </c>
      <c r="G32" s="28" t="s">
        <v>22</v>
      </c>
      <c r="H32" s="101">
        <f t="shared" si="6"/>
        <v>2</v>
      </c>
      <c r="I32" s="8"/>
      <c r="K32" s="29" t="s">
        <v>61</v>
      </c>
      <c r="L32" s="3" t="str">
        <f>Demonstrator!E39</f>
        <v>Not present</v>
      </c>
      <c r="M32">
        <f>VLOOKUP(L32,G56:H57,2,FALSE)</f>
        <v>2</v>
      </c>
      <c r="N32">
        <f>Automation_page!AD2</f>
        <v>1</v>
      </c>
      <c r="O32">
        <f t="shared" si="7"/>
        <v>1</v>
      </c>
      <c r="BT32" s="1"/>
      <c r="BU32" s="1"/>
      <c r="BV32" s="1"/>
      <c r="BW32" t="s">
        <v>166</v>
      </c>
      <c r="BX32">
        <f>IF(SUM(CB32:CB36)&gt;0,CD27,0)</f>
        <v>0</v>
      </c>
      <c r="BY32" s="1"/>
      <c r="BZ32" s="39" t="s">
        <v>29</v>
      </c>
      <c r="CA32" s="42">
        <f>VLOOKUP(BZ32,K:O,5,FALSE)</f>
        <v>2</v>
      </c>
      <c r="CB32" s="42">
        <f>(VLOOKUP(CA32,$DC$54:$DF$55,4,FALSE))</f>
        <v>0</v>
      </c>
      <c r="CC32" s="1"/>
      <c r="CD32" s="1"/>
      <c r="CE32" s="1"/>
      <c r="CF32" s="1"/>
      <c r="CG32" s="1"/>
      <c r="CH32" s="1"/>
      <c r="CI32" s="1"/>
      <c r="CJ32" s="1"/>
      <c r="CZ32" s="32" t="s">
        <v>150</v>
      </c>
      <c r="DA32" s="32" t="s">
        <v>61</v>
      </c>
      <c r="DB32" s="32" t="s">
        <v>112</v>
      </c>
      <c r="DC32" s="48">
        <v>1</v>
      </c>
      <c r="DD32" s="48" t="s">
        <v>24</v>
      </c>
      <c r="DE32" s="95"/>
      <c r="DF32" s="48">
        <v>1</v>
      </c>
      <c r="DH32" s="332" t="s">
        <v>34</v>
      </c>
      <c r="DI32" s="333">
        <v>1</v>
      </c>
      <c r="DJ32" s="331" t="s">
        <v>42</v>
      </c>
      <c r="DK32" s="331"/>
      <c r="DL32" s="62"/>
      <c r="DM32" s="62"/>
    </row>
    <row r="33" spans="1:115" ht="16.05" customHeight="1" x14ac:dyDescent="0.25">
      <c r="A33" s="99">
        <v>19</v>
      </c>
      <c r="B33" s="99" t="s">
        <v>194</v>
      </c>
      <c r="C33" s="99" t="s">
        <v>150</v>
      </c>
      <c r="D33" s="102" t="s">
        <v>31</v>
      </c>
      <c r="E33" s="99" t="s">
        <v>112</v>
      </c>
      <c r="F33" s="28">
        <v>1</v>
      </c>
      <c r="G33" s="28" t="s">
        <v>24</v>
      </c>
      <c r="H33" s="101">
        <f t="shared" si="6"/>
        <v>1</v>
      </c>
      <c r="I33" s="8"/>
      <c r="K33" s="29" t="s">
        <v>63</v>
      </c>
      <c r="L33" s="3" t="str">
        <f>Demonstrator!E40</f>
        <v>Present</v>
      </c>
      <c r="M33">
        <f>VLOOKUP(L33,G58:H59,2,FALSE)</f>
        <v>1</v>
      </c>
      <c r="N33">
        <f>Automation_page!AE2</f>
        <v>2</v>
      </c>
      <c r="O33">
        <f t="shared" si="7"/>
        <v>2</v>
      </c>
      <c r="BT33" s="1"/>
      <c r="BU33" s="1"/>
      <c r="BV33" s="1"/>
      <c r="BZ33" s="4" t="s">
        <v>49</v>
      </c>
      <c r="CA33">
        <f>VLOOKUP(BZ33,K:O,5,FALSE)</f>
        <v>2</v>
      </c>
      <c r="CB33">
        <f>(VLOOKUP(CA33,$DC$24:$DF$25,4,FALSE))</f>
        <v>0</v>
      </c>
      <c r="CE33" s="1"/>
      <c r="CF33" s="1"/>
      <c r="CG33" s="1"/>
      <c r="CH33" s="1"/>
      <c r="CI33" s="1"/>
      <c r="CJ33" s="1"/>
      <c r="DC33" s="48">
        <v>2</v>
      </c>
      <c r="DD33" s="48" t="s">
        <v>22</v>
      </c>
      <c r="DE33" s="95"/>
      <c r="DF33" s="48">
        <v>0</v>
      </c>
      <c r="DH33" s="332"/>
      <c r="DI33" s="333"/>
      <c r="DJ33" s="105">
        <v>1</v>
      </c>
      <c r="DK33" s="105">
        <v>2</v>
      </c>
    </row>
    <row r="34" spans="1:115" ht="16.05" customHeight="1" x14ac:dyDescent="0.25">
      <c r="D34" s="103"/>
      <c r="F34" s="28">
        <v>2</v>
      </c>
      <c r="G34" s="28" t="s">
        <v>22</v>
      </c>
      <c r="H34" s="101">
        <f t="shared" si="6"/>
        <v>2</v>
      </c>
      <c r="I34" s="8"/>
      <c r="K34" s="29" t="s">
        <v>66</v>
      </c>
      <c r="L34" s="3" t="str">
        <f>Demonstrator!E41</f>
        <v>Not present</v>
      </c>
      <c r="M34">
        <f>VLOOKUP(L34,G60:H61,2,FALSE)</f>
        <v>2</v>
      </c>
      <c r="N34">
        <f>Automation_page!AF2</f>
        <v>2</v>
      </c>
      <c r="O34">
        <f t="shared" si="7"/>
        <v>2</v>
      </c>
      <c r="BT34" s="1"/>
      <c r="BU34" s="1"/>
      <c r="BV34" s="1"/>
      <c r="BZ34" s="4" t="s">
        <v>63</v>
      </c>
      <c r="CA34">
        <f>VLOOKUP(BZ34,K:O,5,FALSE)</f>
        <v>2</v>
      </c>
      <c r="CB34">
        <f>(VLOOKUP(CA34,$DC$34:$DF$35,4,FALSE))</f>
        <v>0</v>
      </c>
      <c r="CI34" s="1"/>
      <c r="CJ34" s="1"/>
      <c r="CZ34" s="32" t="s">
        <v>150</v>
      </c>
      <c r="DA34" s="32" t="s">
        <v>63</v>
      </c>
      <c r="DB34" s="32" t="s">
        <v>112</v>
      </c>
      <c r="DC34" s="47">
        <v>1</v>
      </c>
      <c r="DD34" s="47" t="s">
        <v>24</v>
      </c>
      <c r="DE34" s="96">
        <v>0.8</v>
      </c>
      <c r="DF34" s="48">
        <v>1</v>
      </c>
      <c r="DH34" s="331" t="s">
        <v>32</v>
      </c>
      <c r="DI34" s="106">
        <v>1</v>
      </c>
      <c r="DJ34" s="246">
        <v>1</v>
      </c>
      <c r="DK34" s="246">
        <v>1</v>
      </c>
    </row>
    <row r="35" spans="1:115" ht="16.05" customHeight="1" x14ac:dyDescent="0.25">
      <c r="A35" s="99">
        <v>20</v>
      </c>
      <c r="B35" s="99" t="s">
        <v>195</v>
      </c>
      <c r="C35" s="99" t="s">
        <v>150</v>
      </c>
      <c r="D35" s="102" t="s">
        <v>33</v>
      </c>
      <c r="E35" s="99" t="s">
        <v>112</v>
      </c>
      <c r="F35" s="28">
        <v>1</v>
      </c>
      <c r="G35" s="28" t="s">
        <v>24</v>
      </c>
      <c r="H35" s="101">
        <f t="shared" si="6"/>
        <v>1</v>
      </c>
      <c r="I35" s="8"/>
      <c r="K35" s="29" t="s">
        <v>68</v>
      </c>
      <c r="L35" s="3" t="str">
        <f>Demonstrator!E42</f>
        <v>Not present</v>
      </c>
      <c r="M35">
        <f>VLOOKUP(L35,G62:H63,2,FALSE)</f>
        <v>2</v>
      </c>
      <c r="N35">
        <f>Automation_page!AG2</f>
        <v>2</v>
      </c>
      <c r="O35">
        <f t="shared" si="7"/>
        <v>2</v>
      </c>
      <c r="BZ35" s="4" t="s">
        <v>15</v>
      </c>
      <c r="CA35">
        <f>VLOOKUP(BZ35,K:O,5,FALSE)</f>
        <v>3</v>
      </c>
      <c r="CB35">
        <f>(VLOOKUP(CA35,$DN$3:$DR$8,5,FALSE))</f>
        <v>0</v>
      </c>
      <c r="CI35" s="1"/>
      <c r="CJ35" s="1"/>
      <c r="DC35" s="47">
        <v>2</v>
      </c>
      <c r="DD35" s="47" t="s">
        <v>22</v>
      </c>
      <c r="DE35" s="96">
        <v>1</v>
      </c>
      <c r="DF35" s="48">
        <v>0</v>
      </c>
      <c r="DH35" s="331"/>
      <c r="DI35" s="106">
        <v>2</v>
      </c>
      <c r="DJ35" s="246">
        <v>1</v>
      </c>
      <c r="DK35" s="105">
        <v>0</v>
      </c>
    </row>
    <row r="36" spans="1:115" ht="16.05" customHeight="1" x14ac:dyDescent="0.25">
      <c r="D36" s="103"/>
      <c r="F36" s="28">
        <v>2</v>
      </c>
      <c r="G36" s="28" t="s">
        <v>22</v>
      </c>
      <c r="H36" s="101">
        <f t="shared" si="6"/>
        <v>2</v>
      </c>
      <c r="I36" s="7"/>
      <c r="K36" s="29" t="s">
        <v>71</v>
      </c>
      <c r="L36" s="3" t="str">
        <f>Demonstrator!E43</f>
        <v>Not present</v>
      </c>
      <c r="M36">
        <f>VLOOKUP(L36,G64:H65,2,FALSE)</f>
        <v>2</v>
      </c>
      <c r="N36">
        <f>Automation_page!AH2</f>
        <v>2</v>
      </c>
      <c r="O36">
        <f t="shared" si="7"/>
        <v>2</v>
      </c>
      <c r="BZ36" s="36" t="s">
        <v>32</v>
      </c>
      <c r="CA36" s="23">
        <f>VLOOKUP(BZ36,K:O,5,FALSE)</f>
        <v>2</v>
      </c>
      <c r="CB36" s="23">
        <f>(VLOOKUP(CA36,$DC$56:$DF$57,4,FALSE))</f>
        <v>0</v>
      </c>
      <c r="CZ36" s="32" t="s">
        <v>150</v>
      </c>
      <c r="DA36" s="32" t="s">
        <v>66</v>
      </c>
      <c r="DB36" s="32" t="s">
        <v>112</v>
      </c>
      <c r="DC36" s="47">
        <v>1</v>
      </c>
      <c r="DD36" s="47" t="s">
        <v>24</v>
      </c>
      <c r="DE36" s="96">
        <v>1.2</v>
      </c>
      <c r="DF36" s="48">
        <v>1</v>
      </c>
      <c r="DH36" s="332" t="s">
        <v>34</v>
      </c>
      <c r="DI36" s="333">
        <v>2</v>
      </c>
      <c r="DJ36" s="331" t="s">
        <v>42</v>
      </c>
      <c r="DK36" s="331"/>
    </row>
    <row r="37" spans="1:115" ht="16.05" customHeight="1" x14ac:dyDescent="0.25">
      <c r="A37" s="99">
        <v>21</v>
      </c>
      <c r="B37" s="99" t="s">
        <v>196</v>
      </c>
      <c r="C37" s="99" t="s">
        <v>150</v>
      </c>
      <c r="D37" s="102" t="s">
        <v>35</v>
      </c>
      <c r="E37" s="99" t="s">
        <v>112</v>
      </c>
      <c r="F37" s="28">
        <v>1</v>
      </c>
      <c r="G37" s="28" t="s">
        <v>24</v>
      </c>
      <c r="H37" s="101">
        <f t="shared" si="6"/>
        <v>1</v>
      </c>
      <c r="I37" s="8"/>
      <c r="K37" s="29" t="s">
        <v>72</v>
      </c>
      <c r="L37" s="3" t="str">
        <f>Demonstrator!E44</f>
        <v>Not present</v>
      </c>
      <c r="M37">
        <f>VLOOKUP(L37,G66:H67,2,FALSE)</f>
        <v>2</v>
      </c>
      <c r="N37">
        <f>Automation_page!AI2</f>
        <v>2</v>
      </c>
      <c r="O37">
        <f t="shared" si="7"/>
        <v>2</v>
      </c>
      <c r="DC37" s="47">
        <v>2</v>
      </c>
      <c r="DD37" s="47" t="s">
        <v>22</v>
      </c>
      <c r="DE37" s="96">
        <v>1</v>
      </c>
      <c r="DF37" s="48">
        <v>0</v>
      </c>
      <c r="DH37" s="332"/>
      <c r="DI37" s="333"/>
      <c r="DJ37" s="105">
        <v>1</v>
      </c>
      <c r="DK37" s="105">
        <v>2</v>
      </c>
    </row>
    <row r="38" spans="1:115" ht="16.05" customHeight="1" x14ac:dyDescent="0.25">
      <c r="D38" s="103"/>
      <c r="F38" s="28">
        <v>2</v>
      </c>
      <c r="G38" s="28" t="s">
        <v>22</v>
      </c>
      <c r="H38" s="101">
        <f t="shared" si="6"/>
        <v>2</v>
      </c>
      <c r="I38" s="8"/>
      <c r="K38" s="29" t="s">
        <v>13</v>
      </c>
      <c r="L38" s="3" t="str">
        <f>Demonstrator!J22</f>
        <v>&lt; 5 degrees</v>
      </c>
      <c r="M38">
        <f>VLOOKUP(L38,G68:H69,2,FALSE)</f>
        <v>1</v>
      </c>
      <c r="N38">
        <f>Automation_page!AJ2</f>
        <v>1</v>
      </c>
      <c r="O38">
        <f t="shared" si="7"/>
        <v>1</v>
      </c>
      <c r="CZ38" s="32" t="s">
        <v>150</v>
      </c>
      <c r="DA38" s="32" t="s">
        <v>68</v>
      </c>
      <c r="DB38" s="32" t="s">
        <v>112</v>
      </c>
      <c r="DC38" s="47">
        <v>1</v>
      </c>
      <c r="DD38" s="47" t="s">
        <v>24</v>
      </c>
      <c r="DE38" s="96">
        <v>1.5</v>
      </c>
      <c r="DF38" s="48">
        <v>1</v>
      </c>
      <c r="DH38" s="331" t="s">
        <v>32</v>
      </c>
      <c r="DI38" s="106">
        <v>1</v>
      </c>
      <c r="DJ38" s="105">
        <v>1</v>
      </c>
      <c r="DK38" s="105">
        <v>1</v>
      </c>
    </row>
    <row r="39" spans="1:115" ht="16.05" customHeight="1" x14ac:dyDescent="0.25">
      <c r="A39" s="99">
        <v>22</v>
      </c>
      <c r="B39" s="99" t="s">
        <v>197</v>
      </c>
      <c r="C39" s="99" t="s">
        <v>150</v>
      </c>
      <c r="D39" s="102" t="s">
        <v>198</v>
      </c>
      <c r="E39" s="99" t="s">
        <v>112</v>
      </c>
      <c r="F39" s="28">
        <v>1</v>
      </c>
      <c r="G39" s="28" t="s">
        <v>24</v>
      </c>
      <c r="H39" s="101">
        <f>F39</f>
        <v>1</v>
      </c>
      <c r="I39" s="8"/>
      <c r="K39" s="29" t="s">
        <v>17</v>
      </c>
      <c r="L39" s="3" t="str">
        <f>Demonstrator!J23</f>
        <v>No sharp turn present</v>
      </c>
      <c r="M39">
        <f>VLOOKUP(L39,G70:H71,2,FALSE)</f>
        <v>2</v>
      </c>
      <c r="N39">
        <f>Automation_page!AK2</f>
        <v>2</v>
      </c>
      <c r="O39">
        <f t="shared" si="7"/>
        <v>2</v>
      </c>
      <c r="DC39" s="47">
        <v>2</v>
      </c>
      <c r="DD39" s="47" t="s">
        <v>22</v>
      </c>
      <c r="DE39" s="96">
        <v>1</v>
      </c>
      <c r="DF39" s="48">
        <v>0</v>
      </c>
      <c r="DH39" s="331"/>
      <c r="DI39" s="106">
        <v>2</v>
      </c>
      <c r="DJ39" s="105">
        <v>1</v>
      </c>
      <c r="DK39" s="105">
        <v>0</v>
      </c>
    </row>
    <row r="40" spans="1:115" ht="16.05" customHeight="1" x14ac:dyDescent="0.25">
      <c r="D40" s="103"/>
      <c r="F40" s="28">
        <v>2</v>
      </c>
      <c r="G40" s="28" t="s">
        <v>22</v>
      </c>
      <c r="H40" s="101">
        <f>F40</f>
        <v>2</v>
      </c>
      <c r="I40" s="8"/>
      <c r="K40" s="29" t="s">
        <v>21</v>
      </c>
      <c r="L40" s="3" t="str">
        <f>Demonstrator!J24</f>
        <v>Present</v>
      </c>
      <c r="M40">
        <f>VLOOKUP(L40,G72:H73,2,FALSE)</f>
        <v>1</v>
      </c>
      <c r="N40">
        <f>Automation_page!AL2</f>
        <v>1</v>
      </c>
      <c r="O40">
        <f t="shared" si="7"/>
        <v>1</v>
      </c>
      <c r="BW40" t="s">
        <v>199</v>
      </c>
      <c r="BX40">
        <f>IF(SUM(CB40:CB42)&gt;0,CD40/3,0)</f>
        <v>0</v>
      </c>
      <c r="BZ40" s="39" t="s">
        <v>15</v>
      </c>
      <c r="CA40" s="42">
        <f>VLOOKUP(BZ40,K:O,5,FALSE)</f>
        <v>3</v>
      </c>
      <c r="CB40" s="42">
        <f>(VLOOKUP(CA40,$DN$3:$DR$8,5,FALSE))</f>
        <v>0</v>
      </c>
      <c r="CD40" s="1" t="e">
        <f ca="1">(CJ40*PRODUCT(CH40:CH43))</f>
        <v>#N/A</v>
      </c>
      <c r="CE40" s="1"/>
      <c r="CF40" s="38" t="s">
        <v>67</v>
      </c>
      <c r="CG40" s="42">
        <f>VLOOKUP(CF40,K:O,5,FALSE)</f>
        <v>42.47</v>
      </c>
      <c r="CH40" s="42" t="e">
        <f ca="1">DB88</f>
        <v>#N/A</v>
      </c>
      <c r="CJ40">
        <f ca="1">CM40</f>
        <v>0</v>
      </c>
      <c r="CL40" s="53" t="s">
        <v>200</v>
      </c>
      <c r="CM40" s="53">
        <f ca="1">IF(SUM(CQ40:CQ46)&gt;0,((PRODUCT(CU40:CU51)^(1+SUM(CQ40:CQ46)*0.1))),0)</f>
        <v>0</v>
      </c>
      <c r="CN40" s="53"/>
      <c r="CO40" s="54" t="s">
        <v>32</v>
      </c>
      <c r="CP40" s="53">
        <f t="shared" ref="CP40:CP45" si="12">VLOOKUP(CO40,K:O,5,FALSE)</f>
        <v>2</v>
      </c>
      <c r="CQ40" s="53">
        <f>(VLOOKUP(CP40,$DC$56:$DF$57,4,FALSE))</f>
        <v>0</v>
      </c>
      <c r="CR40" s="53"/>
      <c r="CS40" s="55" t="s">
        <v>34</v>
      </c>
      <c r="CT40" s="52">
        <f t="shared" ref="CT40:CT50" si="13">VLOOKUP(CS40,K:O,5,FALSE)</f>
        <v>2</v>
      </c>
      <c r="CU40" s="52">
        <f>(VLOOKUP(CT40,$DC$58:$DE$59,3,FALSE))</f>
        <v>1.2</v>
      </c>
      <c r="CZ40" s="32" t="s">
        <v>150</v>
      </c>
      <c r="DA40" s="32" t="s">
        <v>71</v>
      </c>
      <c r="DB40" s="32" t="s">
        <v>112</v>
      </c>
      <c r="DC40" s="48">
        <v>1</v>
      </c>
      <c r="DD40" s="48" t="s">
        <v>24</v>
      </c>
      <c r="DE40" s="95"/>
      <c r="DF40" s="48">
        <v>1</v>
      </c>
    </row>
    <row r="41" spans="1:115" ht="16.05" customHeight="1" x14ac:dyDescent="0.25">
      <c r="A41" s="99">
        <v>23</v>
      </c>
      <c r="B41" s="99" t="s">
        <v>201</v>
      </c>
      <c r="C41" s="99" t="s">
        <v>150</v>
      </c>
      <c r="D41" s="102" t="s">
        <v>40</v>
      </c>
      <c r="E41" s="99" t="s">
        <v>112</v>
      </c>
      <c r="F41" s="237">
        <v>1</v>
      </c>
      <c r="G41" s="237" t="s">
        <v>41</v>
      </c>
      <c r="H41" s="101">
        <f t="shared" si="6"/>
        <v>1</v>
      </c>
      <c r="I41" s="8"/>
      <c r="K41" s="29" t="s">
        <v>25</v>
      </c>
      <c r="L41" s="3" t="str">
        <f>Demonstrator!J25</f>
        <v>Not present</v>
      </c>
      <c r="M41">
        <f>VLOOKUP(L41,G74:H75,2,FALSE)</f>
        <v>2</v>
      </c>
      <c r="N41">
        <f>Automation_page!AM2</f>
        <v>2</v>
      </c>
      <c r="O41">
        <f t="shared" si="7"/>
        <v>2</v>
      </c>
      <c r="BZ41" s="4" t="s">
        <v>29</v>
      </c>
      <c r="CA41">
        <f>VLOOKUP(BZ41,K:O,5,FALSE)</f>
        <v>2</v>
      </c>
      <c r="CB41">
        <f>(VLOOKUP(CA41,$DC$54:$DF$55,4,FALSE))</f>
        <v>0</v>
      </c>
      <c r="CD41" s="1"/>
      <c r="CE41" s="1"/>
      <c r="CF41" s="4" t="s">
        <v>62</v>
      </c>
      <c r="CG41">
        <f>VLOOKUP(CF41,K:O,5,FALSE)</f>
        <v>2</v>
      </c>
      <c r="CH41">
        <f>(VLOOKUP(CG41,$DC$77:$DE$78,3,FALSE))</f>
        <v>1.2</v>
      </c>
      <c r="CO41" s="4" t="s">
        <v>42</v>
      </c>
      <c r="CP41">
        <f t="shared" si="12"/>
        <v>2</v>
      </c>
      <c r="CQ41">
        <f>(VLOOKUP(CP41,$DC$64:$DF$65,4,FALSE))</f>
        <v>0</v>
      </c>
      <c r="CS41" s="4" t="s">
        <v>43</v>
      </c>
      <c r="CT41" s="14">
        <f t="shared" si="13"/>
        <v>2</v>
      </c>
      <c r="CU41" s="14">
        <f>(VLOOKUP(CT41,$DC$20:$DE$21,3,FALSE))</f>
        <v>1.5</v>
      </c>
      <c r="DC41" s="48">
        <v>2</v>
      </c>
      <c r="DD41" s="48" t="s">
        <v>22</v>
      </c>
      <c r="DE41" s="95"/>
      <c r="DF41" s="48">
        <v>0</v>
      </c>
      <c r="DI41"/>
    </row>
    <row r="42" spans="1:115" ht="16.05" customHeight="1" x14ac:dyDescent="0.25">
      <c r="D42" s="103"/>
      <c r="F42" s="237">
        <v>2</v>
      </c>
      <c r="G42" s="238" t="s">
        <v>184</v>
      </c>
      <c r="H42" s="101">
        <f t="shared" si="6"/>
        <v>2</v>
      </c>
      <c r="I42" s="7"/>
      <c r="K42" s="29" t="s">
        <v>27</v>
      </c>
      <c r="L42" s="3" t="str">
        <f>Demonstrator!J26</f>
        <v>Not present</v>
      </c>
      <c r="M42">
        <f>VLOOKUP(L42,G76:H77,2,FALSE)</f>
        <v>2</v>
      </c>
      <c r="N42">
        <f>Automation_page!AN2</f>
        <v>2</v>
      </c>
      <c r="O42">
        <f t="shared" si="7"/>
        <v>2</v>
      </c>
      <c r="BZ42" s="36" t="s">
        <v>19</v>
      </c>
      <c r="CA42" s="23">
        <f>VLOOKUP(BZ42,K:O,5,FALSE)</f>
        <v>1</v>
      </c>
      <c r="CB42" s="23">
        <f>(VLOOKUP(CA42,$DC$3:$DF$4,4,FALSE))</f>
        <v>0</v>
      </c>
      <c r="CD42" s="1"/>
      <c r="CF42" s="4" t="s">
        <v>63</v>
      </c>
      <c r="CG42">
        <f t="shared" ref="CG42:CG43" si="14">VLOOKUP(CF42,K:O,5,FALSE)</f>
        <v>2</v>
      </c>
      <c r="CH42">
        <f>(VLOOKUP(CG42,$DC$34:$DE$35,3,FALSE))</f>
        <v>1</v>
      </c>
      <c r="CO42" s="4" t="s">
        <v>49</v>
      </c>
      <c r="CP42">
        <f t="shared" si="12"/>
        <v>2</v>
      </c>
      <c r="CQ42">
        <f>(VLOOKUP(CP42,$DC$24:$DF$25,4,FALSE))</f>
        <v>0</v>
      </c>
      <c r="CS42" s="4" t="s">
        <v>51</v>
      </c>
      <c r="CT42" s="14">
        <f t="shared" si="13"/>
        <v>2</v>
      </c>
      <c r="CU42" s="14">
        <f>(VLOOKUP(CT42,$DC$26:$DE$27,3,FALSE))</f>
        <v>1</v>
      </c>
      <c r="CZ42" s="32" t="s">
        <v>150</v>
      </c>
      <c r="DA42" s="32" t="s">
        <v>72</v>
      </c>
      <c r="DB42" s="32" t="s">
        <v>112</v>
      </c>
      <c r="DC42" s="48">
        <v>1</v>
      </c>
      <c r="DD42" s="48" t="s">
        <v>24</v>
      </c>
      <c r="DE42" s="95"/>
      <c r="DF42" s="48">
        <v>1</v>
      </c>
    </row>
    <row r="43" spans="1:115" ht="16.05" customHeight="1" x14ac:dyDescent="0.25">
      <c r="D43" s="103"/>
      <c r="F43" s="237">
        <v>3</v>
      </c>
      <c r="G43" s="238" t="s">
        <v>186</v>
      </c>
      <c r="H43" s="101">
        <v>3</v>
      </c>
      <c r="I43" s="8"/>
      <c r="K43" s="29" t="s">
        <v>29</v>
      </c>
      <c r="L43" s="3" t="str">
        <f>Demonstrator!J27</f>
        <v>Separate/ NA</v>
      </c>
      <c r="M43">
        <f>VLOOKUP(L43,G78:H79,2,FALSE)</f>
        <v>2</v>
      </c>
      <c r="N43">
        <f>Automation_page!AO2</f>
        <v>2</v>
      </c>
      <c r="O43">
        <f t="shared" si="7"/>
        <v>2</v>
      </c>
      <c r="CD43" s="1"/>
      <c r="CF43" s="36" t="s">
        <v>15</v>
      </c>
      <c r="CG43" s="23">
        <f t="shared" si="14"/>
        <v>3</v>
      </c>
      <c r="CH43" s="23">
        <f>(VLOOKUP(CG43,$DN$3:$DS$8,6,FALSE))</f>
        <v>0.8</v>
      </c>
      <c r="CO43" s="4" t="s">
        <v>63</v>
      </c>
      <c r="CP43">
        <f t="shared" si="12"/>
        <v>2</v>
      </c>
      <c r="CQ43">
        <f>(VLOOKUP(CP43,$DC$34:$DF$35,4,FALSE))</f>
        <v>0</v>
      </c>
      <c r="CS43" s="4" t="s">
        <v>66</v>
      </c>
      <c r="CT43" s="14">
        <f t="shared" si="13"/>
        <v>2</v>
      </c>
      <c r="CU43" s="14">
        <f>(VLOOKUP(CT43,$DC$36:$DE$37,3,FALSE))</f>
        <v>1</v>
      </c>
      <c r="DC43" s="48">
        <v>2</v>
      </c>
      <c r="DD43" s="48" t="s">
        <v>22</v>
      </c>
      <c r="DE43" s="95"/>
      <c r="DF43" s="48">
        <v>0</v>
      </c>
    </row>
    <row r="44" spans="1:115" ht="16.05" customHeight="1" x14ac:dyDescent="0.25">
      <c r="A44" s="99">
        <v>24</v>
      </c>
      <c r="B44" s="99" t="s">
        <v>202</v>
      </c>
      <c r="C44" s="99" t="s">
        <v>150</v>
      </c>
      <c r="D44" s="102" t="s">
        <v>43</v>
      </c>
      <c r="E44" s="99" t="s">
        <v>112</v>
      </c>
      <c r="F44" s="28">
        <v>1</v>
      </c>
      <c r="G44" s="28" t="s">
        <v>187</v>
      </c>
      <c r="H44" s="101">
        <f t="shared" si="6"/>
        <v>1</v>
      </c>
      <c r="I44" s="8"/>
      <c r="K44" s="29" t="s">
        <v>32</v>
      </c>
      <c r="L44" s="3" t="str">
        <f>Demonstrator!J28</f>
        <v>Not present</v>
      </c>
      <c r="M44">
        <f>VLOOKUP(L44,G80:H81,2,FALSE)</f>
        <v>2</v>
      </c>
      <c r="N44">
        <f>Automation_page!AP2</f>
        <v>2</v>
      </c>
      <c r="O44">
        <f t="shared" si="7"/>
        <v>2</v>
      </c>
      <c r="CO44" s="285" t="s">
        <v>203</v>
      </c>
      <c r="CP44" s="232">
        <f ca="1">DB266</f>
        <v>3</v>
      </c>
      <c r="CQ44" s="232">
        <f ca="1">(VLOOKUP(CP44,$DN$3:$DR$8,5,FALSE))</f>
        <v>0</v>
      </c>
      <c r="CS44" s="4" t="s">
        <v>21</v>
      </c>
      <c r="CT44" s="14">
        <f t="shared" si="13"/>
        <v>1</v>
      </c>
      <c r="CU44" s="14">
        <f>(VLOOKUP(CT44,$DC$48:$DE$49,3,FALSE))</f>
        <v>1</v>
      </c>
      <c r="CZ44" s="32" t="s">
        <v>150</v>
      </c>
      <c r="DA44" s="32" t="s">
        <v>13</v>
      </c>
      <c r="DB44" s="32" t="s">
        <v>112</v>
      </c>
      <c r="DC44" s="47">
        <v>1</v>
      </c>
      <c r="DD44" s="47" t="s">
        <v>204</v>
      </c>
      <c r="DE44" s="96">
        <v>1</v>
      </c>
      <c r="DF44" s="48">
        <v>0</v>
      </c>
    </row>
    <row r="45" spans="1:115" ht="16.05" customHeight="1" x14ac:dyDescent="0.25">
      <c r="D45" s="103"/>
      <c r="F45" s="28">
        <v>2</v>
      </c>
      <c r="G45" s="28" t="s">
        <v>44</v>
      </c>
      <c r="H45" s="101">
        <f t="shared" si="6"/>
        <v>2</v>
      </c>
      <c r="I45" s="8"/>
      <c r="K45" s="29" t="s">
        <v>34</v>
      </c>
      <c r="L45" s="3" t="str">
        <f>Demonstrator!J29</f>
        <v>Present/NA</v>
      </c>
      <c r="M45">
        <f>VLOOKUP(L45,G82:H83,2,FALSE)</f>
        <v>1</v>
      </c>
      <c r="N45">
        <f>Automation_page!AQ2</f>
        <v>2</v>
      </c>
      <c r="O45">
        <f t="shared" si="7"/>
        <v>2</v>
      </c>
      <c r="BW45" t="s">
        <v>205</v>
      </c>
      <c r="BX45">
        <f>IF(SUM(CB45:CB47)&gt;0,CD40/3,0)</f>
        <v>0</v>
      </c>
      <c r="BZ45" s="39" t="s">
        <v>49</v>
      </c>
      <c r="CA45" s="42">
        <f>VLOOKUP(BZ45,K:O,5,FALSE)</f>
        <v>2</v>
      </c>
      <c r="CB45">
        <f>(VLOOKUP(CA45,$DC$24:$DF$25,4,FALSE))</f>
        <v>0</v>
      </c>
      <c r="CO45" s="4" t="s">
        <v>29</v>
      </c>
      <c r="CP45">
        <f t="shared" si="12"/>
        <v>2</v>
      </c>
      <c r="CQ45">
        <f>IF(CP45=1,1,0)</f>
        <v>0</v>
      </c>
      <c r="CS45" s="4" t="s">
        <v>36</v>
      </c>
      <c r="CT45" s="14">
        <f t="shared" si="13"/>
        <v>2</v>
      </c>
      <c r="CU45" s="14">
        <f>(VLOOKUP(CT45,$DC$60:$DE$61,3,FALSE))</f>
        <v>1.2</v>
      </c>
      <c r="DC45" s="47">
        <v>2</v>
      </c>
      <c r="DD45" s="243" t="s">
        <v>14</v>
      </c>
      <c r="DE45" s="96">
        <v>1.2</v>
      </c>
      <c r="DF45" s="48">
        <v>1</v>
      </c>
    </row>
    <row r="46" spans="1:115" ht="16.05" customHeight="1" x14ac:dyDescent="0.25">
      <c r="A46" s="99">
        <v>25</v>
      </c>
      <c r="B46" s="99" t="s">
        <v>206</v>
      </c>
      <c r="C46" s="99" t="s">
        <v>150</v>
      </c>
      <c r="D46" s="102" t="s">
        <v>47</v>
      </c>
      <c r="E46" s="99" t="s">
        <v>112</v>
      </c>
      <c r="F46" s="28">
        <v>1</v>
      </c>
      <c r="G46" s="28" t="s">
        <v>24</v>
      </c>
      <c r="H46" s="101">
        <f t="shared" si="6"/>
        <v>1</v>
      </c>
      <c r="I46" s="8"/>
      <c r="K46" s="29" t="s">
        <v>36</v>
      </c>
      <c r="L46" s="3" t="str">
        <f>Demonstrator!J30</f>
        <v>1 per direction/NA</v>
      </c>
      <c r="M46">
        <f>VLOOKUP(L46,G84:H85,2,FALSE)</f>
        <v>1</v>
      </c>
      <c r="N46">
        <f>Automation_page!AR2</f>
        <v>2</v>
      </c>
      <c r="O46">
        <f t="shared" si="7"/>
        <v>2</v>
      </c>
      <c r="BZ46" s="4" t="s">
        <v>63</v>
      </c>
      <c r="CA46">
        <f>VLOOKUP(BZ46,K:O,5,FALSE)</f>
        <v>2</v>
      </c>
      <c r="CB46">
        <f>(VLOOKUP(CA46,$DC$34:$DF$35,4,FALSE))</f>
        <v>0</v>
      </c>
      <c r="CO46" s="312"/>
      <c r="CP46" s="313"/>
      <c r="CQ46" s="313"/>
      <c r="CS46" s="4" t="s">
        <v>39</v>
      </c>
      <c r="CT46" s="14">
        <f t="shared" si="13"/>
        <v>1</v>
      </c>
      <c r="CU46" s="14">
        <f>(VLOOKUP(CT46,$DC$62:$DE$63,3,FALSE))</f>
        <v>1</v>
      </c>
      <c r="CZ46" s="32" t="s">
        <v>150</v>
      </c>
      <c r="DA46" s="32" t="s">
        <v>17</v>
      </c>
      <c r="DB46" s="32" t="s">
        <v>112</v>
      </c>
      <c r="DC46" s="47">
        <v>1</v>
      </c>
      <c r="DD46" s="47" t="s">
        <v>18</v>
      </c>
      <c r="DE46" s="96">
        <v>1.5</v>
      </c>
      <c r="DF46" s="48">
        <v>1</v>
      </c>
    </row>
    <row r="47" spans="1:115" ht="16.05" customHeight="1" x14ac:dyDescent="0.25">
      <c r="F47" s="28">
        <v>2</v>
      </c>
      <c r="G47" s="28" t="s">
        <v>22</v>
      </c>
      <c r="H47" s="101">
        <f t="shared" si="6"/>
        <v>2</v>
      </c>
      <c r="I47" s="8"/>
      <c r="K47" s="29" t="s">
        <v>39</v>
      </c>
      <c r="L47" s="3" t="str">
        <f>Demonstrator!J31</f>
        <v>1 per direction/NA</v>
      </c>
      <c r="M47">
        <f>VLOOKUP(L47,G86:H87,2,FALSE)</f>
        <v>1</v>
      </c>
      <c r="N47">
        <f>Automation_page!AS2</f>
        <v>1</v>
      </c>
      <c r="O47">
        <f t="shared" si="7"/>
        <v>1</v>
      </c>
      <c r="BZ47" s="36" t="s">
        <v>38</v>
      </c>
      <c r="CA47" s="23">
        <f>VLOOKUP(BZ47,K:O,5,FALSE)</f>
        <v>1</v>
      </c>
      <c r="CB47">
        <f>(VLOOKUP(CA47,$DC$79:$DF$80,4,FALSE))</f>
        <v>0</v>
      </c>
      <c r="CS47" s="4" t="s">
        <v>58</v>
      </c>
      <c r="CT47" s="14">
        <f t="shared" si="13"/>
        <v>39500</v>
      </c>
      <c r="CU47" s="14">
        <f>(VLOOKUP(CT47,$DI$3:$DK$19,3,TRUE))</f>
        <v>2.1048519522998355</v>
      </c>
      <c r="DC47" s="47">
        <v>2</v>
      </c>
      <c r="DD47" s="243" t="s">
        <v>207</v>
      </c>
      <c r="DE47" s="96">
        <v>1</v>
      </c>
      <c r="DF47" s="48">
        <v>0</v>
      </c>
    </row>
    <row r="48" spans="1:115" ht="16.05" customHeight="1" x14ac:dyDescent="0.25">
      <c r="A48" s="99">
        <v>26</v>
      </c>
      <c r="B48" s="99" t="s">
        <v>208</v>
      </c>
      <c r="C48" s="99" t="s">
        <v>150</v>
      </c>
      <c r="D48" s="99" t="s">
        <v>49</v>
      </c>
      <c r="E48" s="99" t="s">
        <v>112</v>
      </c>
      <c r="F48" s="28">
        <v>1</v>
      </c>
      <c r="G48" s="28" t="s">
        <v>24</v>
      </c>
      <c r="H48" s="101">
        <f t="shared" si="6"/>
        <v>1</v>
      </c>
      <c r="I48" s="7"/>
      <c r="K48" s="29" t="s">
        <v>42</v>
      </c>
      <c r="L48" s="3" t="str">
        <f>Demonstrator!J32</f>
        <v>Not present</v>
      </c>
      <c r="M48">
        <f>VLOOKUP(L48,G88:H89,2,FALSE)</f>
        <v>2</v>
      </c>
      <c r="N48">
        <f>Automation_page!AT2</f>
        <v>2</v>
      </c>
      <c r="O48">
        <f t="shared" si="7"/>
        <v>2</v>
      </c>
      <c r="CS48" s="51" t="s">
        <v>62</v>
      </c>
      <c r="CT48" s="14">
        <f t="shared" si="13"/>
        <v>2</v>
      </c>
      <c r="CU48" s="14">
        <f>(VLOOKUP(CT48,$DC$77:$DE$78,3,FALSE))</f>
        <v>1.2</v>
      </c>
      <c r="CZ48" s="32" t="s">
        <v>150</v>
      </c>
      <c r="DA48" s="32" t="s">
        <v>21</v>
      </c>
      <c r="DB48" s="32" t="s">
        <v>112</v>
      </c>
      <c r="DC48" s="47">
        <v>1</v>
      </c>
      <c r="DD48" s="47" t="s">
        <v>24</v>
      </c>
      <c r="DE48" s="96">
        <v>1</v>
      </c>
    </row>
    <row r="49" spans="1:110" ht="16.05" customHeight="1" x14ac:dyDescent="0.25">
      <c r="F49" s="28">
        <v>2</v>
      </c>
      <c r="G49" s="28" t="s">
        <v>22</v>
      </c>
      <c r="H49" s="101">
        <f t="shared" si="6"/>
        <v>2</v>
      </c>
      <c r="I49" s="8"/>
      <c r="K49" s="29" t="s">
        <v>45</v>
      </c>
      <c r="L49" s="3" t="str">
        <f>Demonstrator!J33</f>
        <v>Low</v>
      </c>
      <c r="M49">
        <f>VLOOKUP(L49,G90:H92,2,FALSE)</f>
        <v>2</v>
      </c>
      <c r="N49">
        <f>Automation_page!AU2</f>
        <v>3</v>
      </c>
      <c r="O49">
        <f t="shared" si="7"/>
        <v>3</v>
      </c>
      <c r="BW49" t="s">
        <v>209</v>
      </c>
      <c r="BX49">
        <f>IF(SUM(CB49:CB50)&gt;0,CD40/3,0)</f>
        <v>0</v>
      </c>
      <c r="BZ49" s="39" t="s">
        <v>32</v>
      </c>
      <c r="CA49" s="42">
        <f>VLOOKUP(BZ49,K:O,5,FALSE)</f>
        <v>2</v>
      </c>
      <c r="CB49">
        <f>(VLOOKUP(CA49,$DC$56:$DF$57,4,FALSE))</f>
        <v>0</v>
      </c>
      <c r="CS49" s="51" t="s">
        <v>35</v>
      </c>
      <c r="CT49" s="50">
        <f t="shared" si="13"/>
        <v>2</v>
      </c>
      <c r="CU49" s="50">
        <f>IF(AND(CT49=1,CT42=1),1.2,1)</f>
        <v>1</v>
      </c>
      <c r="DC49" s="47">
        <v>2</v>
      </c>
      <c r="DD49" s="47" t="s">
        <v>22</v>
      </c>
      <c r="DE49" s="96">
        <v>1.2</v>
      </c>
    </row>
    <row r="50" spans="1:110" ht="16.05" customHeight="1" x14ac:dyDescent="0.25">
      <c r="A50" s="99">
        <v>27</v>
      </c>
      <c r="B50" s="99" t="s">
        <v>210</v>
      </c>
      <c r="C50" s="99" t="s">
        <v>150</v>
      </c>
      <c r="D50" s="99" t="s">
        <v>51</v>
      </c>
      <c r="E50" s="99" t="s">
        <v>112</v>
      </c>
      <c r="F50" s="28">
        <v>1</v>
      </c>
      <c r="G50" s="28" t="s">
        <v>24</v>
      </c>
      <c r="H50" s="101">
        <f t="shared" si="6"/>
        <v>1</v>
      </c>
      <c r="I50" s="8"/>
      <c r="K50" s="29" t="s">
        <v>48</v>
      </c>
      <c r="L50" s="3" t="str">
        <f>Demonstrator!J34</f>
        <v>Moderate to high</v>
      </c>
      <c r="M50">
        <f>VLOOKUP(L50,G93:H94,2,FALSE)</f>
        <v>2</v>
      </c>
      <c r="N50">
        <f>Automation_page!AV2</f>
        <v>2</v>
      </c>
      <c r="O50">
        <f>IF($O$2="auto",N50,M50)</f>
        <v>2</v>
      </c>
      <c r="BT50" s="50"/>
      <c r="BU50" s="50"/>
      <c r="BV50" s="50"/>
      <c r="BY50" t="s">
        <v>1</v>
      </c>
      <c r="BZ50" s="4" t="s">
        <v>42</v>
      </c>
      <c r="CA50">
        <f>VLOOKUP(BZ50,K:O,5,FALSE)</f>
        <v>2</v>
      </c>
      <c r="CB50">
        <f>(VLOOKUP(CA50,$DC$64:$DF$65,4,FALSE))</f>
        <v>0</v>
      </c>
      <c r="CS50" s="29" t="s">
        <v>38</v>
      </c>
      <c r="CT50" s="50">
        <f t="shared" si="13"/>
        <v>1</v>
      </c>
      <c r="CU50">
        <f>(VLOOKUP(CT50,$DC$79:$DF$80,3,FALSE))</f>
        <v>0.8</v>
      </c>
      <c r="CZ50" s="32" t="s">
        <v>150</v>
      </c>
      <c r="DA50" s="32" t="s">
        <v>25</v>
      </c>
      <c r="DB50" s="32" t="s">
        <v>112</v>
      </c>
      <c r="DC50" s="47">
        <v>1</v>
      </c>
      <c r="DD50" s="47" t="s">
        <v>24</v>
      </c>
      <c r="DE50" s="96">
        <v>1.2</v>
      </c>
      <c r="DF50" s="48">
        <v>1</v>
      </c>
    </row>
    <row r="51" spans="1:110" ht="16.05" customHeight="1" x14ac:dyDescent="0.25">
      <c r="F51" s="28">
        <v>2</v>
      </c>
      <c r="G51" s="28" t="s">
        <v>22</v>
      </c>
      <c r="H51" s="101">
        <f t="shared" si="6"/>
        <v>2</v>
      </c>
      <c r="I51" s="8"/>
      <c r="K51" s="29" t="s">
        <v>50</v>
      </c>
      <c r="L51" s="3" t="str">
        <f>Demonstrator!J35</f>
        <v>Low</v>
      </c>
      <c r="M51">
        <f>VLOOKUP(L51,G95:H96,2,FALSE)</f>
        <v>1</v>
      </c>
      <c r="N51">
        <f>Automation_page!AW2</f>
        <v>2</v>
      </c>
      <c r="O51">
        <f t="shared" si="7"/>
        <v>2</v>
      </c>
      <c r="CL51" s="50"/>
      <c r="CM51" s="50"/>
      <c r="CN51" s="50"/>
      <c r="CO51" s="50"/>
      <c r="CP51" s="50"/>
      <c r="CQ51" s="50"/>
      <c r="CR51" s="50"/>
      <c r="CS51" s="239" t="s">
        <v>15</v>
      </c>
      <c r="CT51">
        <f>VLOOKUP(CS51,K:O,5,FALSE)</f>
        <v>3</v>
      </c>
      <c r="CU51">
        <f>(VLOOKUP(CT51,$DN$3:$DT$8,7,FALSE))</f>
        <v>1</v>
      </c>
      <c r="DC51" s="47">
        <v>2</v>
      </c>
      <c r="DD51" s="47" t="s">
        <v>22</v>
      </c>
      <c r="DE51" s="96">
        <v>1</v>
      </c>
      <c r="DF51" s="48">
        <v>0</v>
      </c>
    </row>
    <row r="52" spans="1:110" ht="16.05" customHeight="1" x14ac:dyDescent="0.25">
      <c r="A52" s="99">
        <v>28</v>
      </c>
      <c r="B52" s="99" t="s">
        <v>211</v>
      </c>
      <c r="C52" s="99" t="s">
        <v>150</v>
      </c>
      <c r="D52" s="99" t="s">
        <v>54</v>
      </c>
      <c r="E52" s="99" t="s">
        <v>112</v>
      </c>
      <c r="F52" s="28">
        <v>1</v>
      </c>
      <c r="G52" s="28" t="s">
        <v>24</v>
      </c>
      <c r="H52" s="101">
        <f t="shared" si="6"/>
        <v>1</v>
      </c>
      <c r="I52" s="8"/>
      <c r="K52" s="29" t="s">
        <v>52</v>
      </c>
      <c r="L52" s="3" t="str">
        <f>Demonstrator!J36</f>
        <v>&lt; 20km/h</v>
      </c>
      <c r="M52">
        <f>VLOOKUP(L52,G97:H98,2,FALSE)</f>
        <v>1</v>
      </c>
      <c r="N52">
        <f>Automation_page!AX2</f>
        <v>1</v>
      </c>
      <c r="O52">
        <f t="shared" si="7"/>
        <v>1</v>
      </c>
      <c r="CZ52" s="32" t="s">
        <v>150</v>
      </c>
      <c r="DA52" s="32" t="s">
        <v>27</v>
      </c>
      <c r="DB52" s="32" t="s">
        <v>112</v>
      </c>
      <c r="DC52" s="47">
        <v>1</v>
      </c>
      <c r="DD52" s="47" t="s">
        <v>24</v>
      </c>
      <c r="DE52" s="96">
        <v>1.2</v>
      </c>
      <c r="DF52" s="48">
        <v>1</v>
      </c>
    </row>
    <row r="53" spans="1:110" ht="16.05" customHeight="1" x14ac:dyDescent="0.25">
      <c r="F53" s="28">
        <v>2</v>
      </c>
      <c r="G53" s="28" t="s">
        <v>22</v>
      </c>
      <c r="H53" s="101">
        <f t="shared" si="6"/>
        <v>2</v>
      </c>
      <c r="I53" s="8"/>
      <c r="K53" s="29" t="s">
        <v>55</v>
      </c>
      <c r="L53" s="3" t="str">
        <f>Demonstrator!J37</f>
        <v>&lt; 10km/h</v>
      </c>
      <c r="M53">
        <f>VLOOKUP(L53,G99:H100,2,FALSE)</f>
        <v>1</v>
      </c>
      <c r="N53">
        <f>Automation_page!AY2</f>
        <v>1</v>
      </c>
      <c r="O53">
        <f t="shared" si="7"/>
        <v>1</v>
      </c>
      <c r="DC53" s="47">
        <v>2</v>
      </c>
      <c r="DD53" s="47" t="s">
        <v>22</v>
      </c>
      <c r="DE53" s="96">
        <v>1</v>
      </c>
      <c r="DF53" s="48">
        <v>0</v>
      </c>
    </row>
    <row r="54" spans="1:110" ht="16.05" customHeight="1" x14ac:dyDescent="0.25">
      <c r="A54" s="99">
        <v>29</v>
      </c>
      <c r="B54" s="99" t="s">
        <v>212</v>
      </c>
      <c r="C54" s="99" t="s">
        <v>150</v>
      </c>
      <c r="D54" s="99" t="s">
        <v>57</v>
      </c>
      <c r="E54" s="99" t="s">
        <v>112</v>
      </c>
      <c r="F54" s="28">
        <v>1</v>
      </c>
      <c r="G54" s="28" t="s">
        <v>24</v>
      </c>
      <c r="H54" s="101">
        <f t="shared" si="6"/>
        <v>1</v>
      </c>
      <c r="I54" s="5"/>
      <c r="K54" s="29" t="s">
        <v>58</v>
      </c>
      <c r="L54" s="3">
        <f>Demonstrator!J38</f>
        <v>1500</v>
      </c>
      <c r="M54">
        <f>IF(L54="","",L54)</f>
        <v>1500</v>
      </c>
      <c r="N54">
        <f>Automation_page!AZ2</f>
        <v>39500</v>
      </c>
      <c r="O54">
        <f t="shared" si="7"/>
        <v>39500</v>
      </c>
      <c r="CZ54" s="32" t="s">
        <v>150</v>
      </c>
      <c r="DA54" s="32" t="s">
        <v>29</v>
      </c>
      <c r="DB54" s="32" t="s">
        <v>112</v>
      </c>
      <c r="DC54" s="48">
        <v>1</v>
      </c>
      <c r="DD54" s="48" t="s">
        <v>30</v>
      </c>
      <c r="DE54" s="95"/>
      <c r="DF54" s="48">
        <v>1</v>
      </c>
    </row>
    <row r="55" spans="1:110" ht="16.05" customHeight="1" x14ac:dyDescent="0.25">
      <c r="F55" s="28">
        <v>2</v>
      </c>
      <c r="G55" s="28" t="s">
        <v>22</v>
      </c>
      <c r="H55" s="101">
        <f t="shared" si="6"/>
        <v>2</v>
      </c>
      <c r="K55" s="29" t="s">
        <v>62</v>
      </c>
      <c r="L55" s="3" t="str">
        <f>Demonstrator!J39</f>
        <v>Low/restricted access</v>
      </c>
      <c r="M55">
        <f>VLOOKUP(L55,G102:H103,2,FALSE)</f>
        <v>1</v>
      </c>
      <c r="N55">
        <f>Automation_page!BA2</f>
        <v>2</v>
      </c>
      <c r="O55">
        <f t="shared" si="7"/>
        <v>2</v>
      </c>
      <c r="DC55" s="48">
        <v>2</v>
      </c>
      <c r="DD55" s="48" t="s">
        <v>213</v>
      </c>
      <c r="DE55" s="95"/>
      <c r="DF55" s="48">
        <v>0</v>
      </c>
    </row>
    <row r="56" spans="1:110" ht="16.05" customHeight="1" x14ac:dyDescent="0.25">
      <c r="A56" s="99">
        <v>30</v>
      </c>
      <c r="B56" s="99" t="s">
        <v>214</v>
      </c>
      <c r="C56" s="99" t="s">
        <v>150</v>
      </c>
      <c r="D56" s="99" t="s">
        <v>61</v>
      </c>
      <c r="E56" s="99" t="s">
        <v>112</v>
      </c>
      <c r="F56" s="28">
        <v>1</v>
      </c>
      <c r="G56" s="28" t="s">
        <v>24</v>
      </c>
      <c r="H56" s="101">
        <f t="shared" si="6"/>
        <v>1</v>
      </c>
      <c r="K56" s="29" t="s">
        <v>64</v>
      </c>
      <c r="L56" s="3">
        <f>Demonstrator!J40</f>
        <v>30</v>
      </c>
      <c r="M56">
        <f>IF(L56="","",L56)</f>
        <v>30</v>
      </c>
      <c r="N56">
        <f>Automation_page!BB2</f>
        <v>50</v>
      </c>
      <c r="O56">
        <f t="shared" si="7"/>
        <v>50</v>
      </c>
      <c r="CZ56" s="32" t="s">
        <v>150</v>
      </c>
      <c r="DA56" s="32" t="s">
        <v>32</v>
      </c>
      <c r="DB56" s="32" t="s">
        <v>112</v>
      </c>
      <c r="DC56" s="47">
        <v>1</v>
      </c>
      <c r="DD56" s="47" t="s">
        <v>24</v>
      </c>
      <c r="DE56" s="96">
        <v>1.2</v>
      </c>
      <c r="DF56" s="48">
        <v>1</v>
      </c>
    </row>
    <row r="57" spans="1:110" ht="16.05" customHeight="1" x14ac:dyDescent="0.25">
      <c r="F57" s="28">
        <v>2</v>
      </c>
      <c r="G57" s="28" t="s">
        <v>22</v>
      </c>
      <c r="H57" s="101">
        <f t="shared" si="6"/>
        <v>2</v>
      </c>
      <c r="K57" s="29" t="s">
        <v>67</v>
      </c>
      <c r="L57" s="3">
        <f>Demonstrator!J41</f>
        <v>30</v>
      </c>
      <c r="M57">
        <f>IF(L57="","",L57)</f>
        <v>30</v>
      </c>
      <c r="N57">
        <f>Automation_page!BC2</f>
        <v>42.47</v>
      </c>
      <c r="O57">
        <f t="shared" si="7"/>
        <v>42.47</v>
      </c>
      <c r="DC57" s="47">
        <v>2</v>
      </c>
      <c r="DD57" s="47" t="s">
        <v>22</v>
      </c>
      <c r="DE57" s="96">
        <v>1</v>
      </c>
      <c r="DF57" s="48">
        <v>0</v>
      </c>
    </row>
    <row r="58" spans="1:110" ht="16.05" customHeight="1" x14ac:dyDescent="0.25">
      <c r="A58" s="99">
        <v>31</v>
      </c>
      <c r="B58" s="99" t="s">
        <v>215</v>
      </c>
      <c r="C58" s="99" t="s">
        <v>150</v>
      </c>
      <c r="D58" s="99" t="s">
        <v>63</v>
      </c>
      <c r="E58" s="99" t="s">
        <v>112</v>
      </c>
      <c r="F58" s="28">
        <v>1</v>
      </c>
      <c r="G58" s="28" t="s">
        <v>24</v>
      </c>
      <c r="H58" s="101">
        <f t="shared" si="6"/>
        <v>1</v>
      </c>
      <c r="K58" s="29" t="s">
        <v>69</v>
      </c>
      <c r="L58" s="3" t="str">
        <f>Demonstrator!J42</f>
        <v>km/h</v>
      </c>
      <c r="M58">
        <f>VLOOKUP(L58,G106:H107,2,FALSE)</f>
        <v>1</v>
      </c>
      <c r="N58">
        <f>Automation_page!BD2</f>
        <v>0</v>
      </c>
      <c r="O58">
        <f t="shared" si="7"/>
        <v>0</v>
      </c>
      <c r="CZ58" s="32" t="s">
        <v>150</v>
      </c>
      <c r="DA58" s="32" t="s">
        <v>34</v>
      </c>
      <c r="DB58" s="32" t="s">
        <v>112</v>
      </c>
      <c r="DC58" s="47">
        <v>1</v>
      </c>
      <c r="DD58" s="47" t="s">
        <v>216</v>
      </c>
      <c r="DE58" s="96">
        <v>1</v>
      </c>
      <c r="DF58" s="245">
        <v>0</v>
      </c>
    </row>
    <row r="59" spans="1:110" ht="16.05" customHeight="1" x14ac:dyDescent="0.25">
      <c r="F59" s="28">
        <v>2</v>
      </c>
      <c r="G59" s="28" t="s">
        <v>22</v>
      </c>
      <c r="H59" s="101">
        <f t="shared" si="6"/>
        <v>2</v>
      </c>
      <c r="K59" s="286"/>
      <c r="L59" s="47"/>
      <c r="M59" s="47"/>
      <c r="N59" s="47"/>
      <c r="O59" s="286"/>
      <c r="DC59" s="47">
        <v>2</v>
      </c>
      <c r="DD59" s="47" t="s">
        <v>22</v>
      </c>
      <c r="DE59" s="96">
        <v>1.2</v>
      </c>
      <c r="DF59" s="48">
        <v>1</v>
      </c>
    </row>
    <row r="60" spans="1:110" ht="16.05" customHeight="1" x14ac:dyDescent="0.25">
      <c r="A60" s="99">
        <v>32</v>
      </c>
      <c r="B60" s="99" t="s">
        <v>219</v>
      </c>
      <c r="C60" s="99" t="s">
        <v>150</v>
      </c>
      <c r="D60" s="99" t="s">
        <v>66</v>
      </c>
      <c r="E60" s="99" t="s">
        <v>112</v>
      </c>
      <c r="F60" s="28">
        <v>1</v>
      </c>
      <c r="G60" s="28" t="s">
        <v>24</v>
      </c>
      <c r="H60" s="101">
        <f t="shared" si="6"/>
        <v>1</v>
      </c>
      <c r="K60" s="286" t="s">
        <v>220</v>
      </c>
      <c r="L60" s="47" t="s">
        <v>218</v>
      </c>
      <c r="M60" s="47" t="s">
        <v>218</v>
      </c>
      <c r="N60" s="47" t="s">
        <v>218</v>
      </c>
      <c r="O60" s="47">
        <f ca="1">DB248</f>
        <v>2</v>
      </c>
      <c r="CZ60" s="32" t="s">
        <v>150</v>
      </c>
      <c r="DA60" s="32" t="s">
        <v>36</v>
      </c>
      <c r="DB60" s="32" t="s">
        <v>112</v>
      </c>
      <c r="DC60" s="47">
        <v>1</v>
      </c>
      <c r="DD60" s="47" t="s">
        <v>221</v>
      </c>
      <c r="DE60" s="96">
        <v>1</v>
      </c>
    </row>
    <row r="61" spans="1:110" ht="16.05" customHeight="1" x14ac:dyDescent="0.25">
      <c r="F61" s="28">
        <v>2</v>
      </c>
      <c r="G61" s="28" t="s">
        <v>22</v>
      </c>
      <c r="H61" s="101">
        <f t="shared" si="6"/>
        <v>2</v>
      </c>
      <c r="K61" s="286" t="s">
        <v>222</v>
      </c>
      <c r="L61" s="47" t="s">
        <v>218</v>
      </c>
      <c r="M61" s="47" t="s">
        <v>218</v>
      </c>
      <c r="N61" s="47" t="s">
        <v>218</v>
      </c>
      <c r="O61" s="47">
        <f ca="1">DB256</f>
        <v>1</v>
      </c>
      <c r="DC61" s="47">
        <v>2</v>
      </c>
      <c r="DD61" s="47" t="s">
        <v>37</v>
      </c>
      <c r="DE61" s="96">
        <v>1.2</v>
      </c>
    </row>
    <row r="62" spans="1:110" ht="16.05" customHeight="1" x14ac:dyDescent="0.25">
      <c r="A62" s="99">
        <v>33</v>
      </c>
      <c r="B62" s="99" t="s">
        <v>223</v>
      </c>
      <c r="C62" s="99" t="s">
        <v>150</v>
      </c>
      <c r="D62" s="99" t="s">
        <v>68</v>
      </c>
      <c r="E62" s="99" t="s">
        <v>112</v>
      </c>
      <c r="F62" s="28">
        <v>1</v>
      </c>
      <c r="G62" s="28" t="s">
        <v>24</v>
      </c>
      <c r="H62" s="101">
        <f t="shared" si="6"/>
        <v>1</v>
      </c>
      <c r="K62" s="286" t="s">
        <v>203</v>
      </c>
      <c r="L62" s="47" t="s">
        <v>218</v>
      </c>
      <c r="M62" s="47" t="s">
        <v>218</v>
      </c>
      <c r="N62" s="47" t="s">
        <v>218</v>
      </c>
      <c r="O62" s="47">
        <f ca="1">DB266</f>
        <v>3</v>
      </c>
      <c r="CZ62" s="32" t="s">
        <v>150</v>
      </c>
      <c r="DA62" s="32" t="s">
        <v>39</v>
      </c>
      <c r="DB62" s="32" t="s">
        <v>112</v>
      </c>
      <c r="DC62" s="47">
        <v>1</v>
      </c>
      <c r="DD62" s="47" t="s">
        <v>224</v>
      </c>
      <c r="DE62" s="96">
        <v>1</v>
      </c>
    </row>
    <row r="63" spans="1:110" ht="16.05" customHeight="1" x14ac:dyDescent="0.25">
      <c r="F63" s="28">
        <v>2</v>
      </c>
      <c r="G63" s="28" t="s">
        <v>22</v>
      </c>
      <c r="H63" s="101">
        <f t="shared" si="6"/>
        <v>2</v>
      </c>
      <c r="DC63" s="47">
        <v>2</v>
      </c>
      <c r="DD63" s="47" t="s">
        <v>37</v>
      </c>
      <c r="DE63" s="96">
        <v>1.2</v>
      </c>
    </row>
    <row r="64" spans="1:110" ht="16.05" customHeight="1" x14ac:dyDescent="0.25">
      <c r="A64" s="99">
        <v>34</v>
      </c>
      <c r="B64" s="99" t="s">
        <v>225</v>
      </c>
      <c r="C64" s="99" t="s">
        <v>150</v>
      </c>
      <c r="D64" s="99" t="s">
        <v>71</v>
      </c>
      <c r="E64" s="99" t="s">
        <v>112</v>
      </c>
      <c r="F64" s="28">
        <v>1</v>
      </c>
      <c r="G64" s="28" t="s">
        <v>24</v>
      </c>
      <c r="H64" s="101">
        <f t="shared" si="6"/>
        <v>1</v>
      </c>
      <c r="CZ64" s="32" t="s">
        <v>150</v>
      </c>
      <c r="DA64" s="32" t="s">
        <v>42</v>
      </c>
      <c r="DB64" s="32" t="s">
        <v>112</v>
      </c>
      <c r="DC64" s="47">
        <v>1</v>
      </c>
      <c r="DD64" s="47" t="s">
        <v>24</v>
      </c>
      <c r="DE64" s="96">
        <v>1.2</v>
      </c>
      <c r="DF64" s="48">
        <v>1</v>
      </c>
    </row>
    <row r="65" spans="1:115" ht="16.05" customHeight="1" x14ac:dyDescent="0.25">
      <c r="F65" s="28">
        <v>2</v>
      </c>
      <c r="G65" s="28" t="s">
        <v>22</v>
      </c>
      <c r="H65" s="101">
        <f t="shared" si="6"/>
        <v>2</v>
      </c>
      <c r="DC65" s="47">
        <v>2</v>
      </c>
      <c r="DD65" s="47" t="s">
        <v>22</v>
      </c>
      <c r="DE65" s="96">
        <v>1</v>
      </c>
      <c r="DF65" s="48">
        <v>0</v>
      </c>
    </row>
    <row r="66" spans="1:115" ht="16.05" customHeight="1" x14ac:dyDescent="0.25">
      <c r="A66" s="99">
        <v>35</v>
      </c>
      <c r="B66" s="99" t="s">
        <v>226</v>
      </c>
      <c r="C66" s="99" t="s">
        <v>150</v>
      </c>
      <c r="D66" s="99" t="s">
        <v>72</v>
      </c>
      <c r="E66" s="99" t="s">
        <v>112</v>
      </c>
      <c r="F66" s="28">
        <v>1</v>
      </c>
      <c r="G66" s="28" t="s">
        <v>24</v>
      </c>
      <c r="H66" s="101">
        <f t="shared" si="6"/>
        <v>1</v>
      </c>
      <c r="CZ66" s="32" t="s">
        <v>227</v>
      </c>
      <c r="DA66" s="32" t="s">
        <v>45</v>
      </c>
      <c r="DB66" s="32" t="s">
        <v>112</v>
      </c>
      <c r="DC66" s="47">
        <v>1</v>
      </c>
      <c r="DD66" s="47" t="s">
        <v>228</v>
      </c>
      <c r="DE66" s="96">
        <v>1</v>
      </c>
      <c r="DF66" s="48">
        <v>0</v>
      </c>
      <c r="DH66" s="62"/>
      <c r="DI66" s="62"/>
      <c r="DJ66" s="62"/>
      <c r="DK66" s="62"/>
    </row>
    <row r="67" spans="1:115" ht="16.05" customHeight="1" x14ac:dyDescent="0.25">
      <c r="F67" s="28">
        <v>2</v>
      </c>
      <c r="G67" s="28" t="s">
        <v>22</v>
      </c>
      <c r="H67" s="101">
        <f t="shared" si="6"/>
        <v>2</v>
      </c>
      <c r="DC67" s="47">
        <v>2</v>
      </c>
      <c r="DD67" s="47" t="s">
        <v>103</v>
      </c>
      <c r="DE67" s="96">
        <v>1.2</v>
      </c>
      <c r="DF67" s="48">
        <v>1</v>
      </c>
    </row>
    <row r="68" spans="1:115" ht="16.05" customHeight="1" x14ac:dyDescent="0.25">
      <c r="A68" s="99">
        <v>36</v>
      </c>
      <c r="B68" s="99" t="s">
        <v>229</v>
      </c>
      <c r="C68" s="99" t="s">
        <v>150</v>
      </c>
      <c r="D68" s="99" t="s">
        <v>13</v>
      </c>
      <c r="E68" s="99" t="s">
        <v>112</v>
      </c>
      <c r="F68" s="28">
        <v>1</v>
      </c>
      <c r="G68" s="28" t="s">
        <v>204</v>
      </c>
      <c r="H68" s="101">
        <f t="shared" si="6"/>
        <v>1</v>
      </c>
      <c r="DC68" s="47">
        <v>3</v>
      </c>
      <c r="DD68" s="47" t="s">
        <v>46</v>
      </c>
      <c r="DE68" s="96">
        <v>1.5</v>
      </c>
      <c r="DF68" s="48">
        <v>1</v>
      </c>
    </row>
    <row r="69" spans="1:115" ht="16.05" customHeight="1" x14ac:dyDescent="0.25">
      <c r="F69" s="28">
        <v>2</v>
      </c>
      <c r="G69" s="104" t="s">
        <v>14</v>
      </c>
      <c r="H69" s="101">
        <f t="shared" si="6"/>
        <v>2</v>
      </c>
      <c r="CZ69" s="32" t="s">
        <v>227</v>
      </c>
      <c r="DA69" s="32" t="s">
        <v>48</v>
      </c>
      <c r="DB69" s="32" t="s">
        <v>112</v>
      </c>
      <c r="DC69" s="47">
        <v>1</v>
      </c>
      <c r="DD69" s="47" t="s">
        <v>103</v>
      </c>
      <c r="DE69" s="96">
        <v>1</v>
      </c>
    </row>
    <row r="70" spans="1:115" ht="16.05" customHeight="1" x14ac:dyDescent="0.25">
      <c r="A70" s="99">
        <v>37</v>
      </c>
      <c r="B70" s="99" t="s">
        <v>230</v>
      </c>
      <c r="C70" s="99" t="s">
        <v>150</v>
      </c>
      <c r="D70" s="99" t="s">
        <v>17</v>
      </c>
      <c r="E70" s="99" t="s">
        <v>112</v>
      </c>
      <c r="F70" s="28">
        <v>1</v>
      </c>
      <c r="G70" s="28" t="s">
        <v>18</v>
      </c>
      <c r="H70" s="101">
        <f t="shared" si="6"/>
        <v>1</v>
      </c>
      <c r="DC70" s="47">
        <v>2</v>
      </c>
      <c r="DD70" s="47" t="s">
        <v>46</v>
      </c>
      <c r="DE70" s="96">
        <v>1.2</v>
      </c>
      <c r="DI70"/>
    </row>
    <row r="71" spans="1:115" ht="16.05" customHeight="1" x14ac:dyDescent="0.25">
      <c r="F71" s="28">
        <v>2</v>
      </c>
      <c r="G71" s="28" t="s">
        <v>207</v>
      </c>
      <c r="H71" s="101">
        <f t="shared" si="6"/>
        <v>2</v>
      </c>
      <c r="CZ71" s="32" t="s">
        <v>227</v>
      </c>
      <c r="DA71" s="32" t="s">
        <v>50</v>
      </c>
      <c r="DB71" s="32" t="s">
        <v>112</v>
      </c>
      <c r="DC71" s="47">
        <v>1</v>
      </c>
      <c r="DD71" s="47" t="s">
        <v>103</v>
      </c>
      <c r="DE71" s="96">
        <v>1</v>
      </c>
      <c r="DI71"/>
    </row>
    <row r="72" spans="1:115" ht="16.05" customHeight="1" x14ac:dyDescent="0.25">
      <c r="A72" s="99">
        <v>38</v>
      </c>
      <c r="B72" s="99" t="s">
        <v>231</v>
      </c>
      <c r="C72" s="99" t="s">
        <v>150</v>
      </c>
      <c r="D72" s="99" t="s">
        <v>21</v>
      </c>
      <c r="E72" s="99" t="s">
        <v>112</v>
      </c>
      <c r="F72" s="28">
        <v>1</v>
      </c>
      <c r="G72" s="28" t="s">
        <v>24</v>
      </c>
      <c r="H72" s="101">
        <f t="shared" si="6"/>
        <v>1</v>
      </c>
      <c r="DC72" s="47">
        <v>2</v>
      </c>
      <c r="DD72" s="47" t="s">
        <v>46</v>
      </c>
      <c r="DE72" s="96">
        <v>1.2</v>
      </c>
    </row>
    <row r="73" spans="1:115" ht="16.05" customHeight="1" x14ac:dyDescent="0.25">
      <c r="F73" s="28">
        <v>2</v>
      </c>
      <c r="G73" s="28" t="s">
        <v>22</v>
      </c>
      <c r="H73" s="101">
        <f t="shared" si="6"/>
        <v>2</v>
      </c>
      <c r="CZ73" s="32" t="s">
        <v>227</v>
      </c>
      <c r="DA73" s="32" t="s">
        <v>52</v>
      </c>
      <c r="DB73" s="32" t="s">
        <v>112</v>
      </c>
      <c r="DC73" s="47">
        <v>1</v>
      </c>
      <c r="DD73" s="47" t="s">
        <v>232</v>
      </c>
      <c r="DE73" s="96">
        <v>1</v>
      </c>
    </row>
    <row r="74" spans="1:115" ht="16.05" customHeight="1" x14ac:dyDescent="0.25">
      <c r="A74" s="99">
        <v>39</v>
      </c>
      <c r="B74" s="99" t="s">
        <v>233</v>
      </c>
      <c r="C74" s="99" t="s">
        <v>150</v>
      </c>
      <c r="D74" s="99" t="s">
        <v>25</v>
      </c>
      <c r="E74" s="99" t="s">
        <v>112</v>
      </c>
      <c r="F74" s="28">
        <v>1</v>
      </c>
      <c r="G74" s="28" t="s">
        <v>24</v>
      </c>
      <c r="H74" s="101">
        <f t="shared" si="6"/>
        <v>1</v>
      </c>
      <c r="DC74" s="47">
        <v>2</v>
      </c>
      <c r="DD74" s="243" t="s">
        <v>53</v>
      </c>
      <c r="DE74" s="96">
        <v>1.5</v>
      </c>
      <c r="DI74" s="117"/>
      <c r="DJ74" s="117"/>
    </row>
    <row r="75" spans="1:115" ht="16.05" customHeight="1" x14ac:dyDescent="0.25">
      <c r="F75" s="28">
        <v>2</v>
      </c>
      <c r="G75" s="28" t="s">
        <v>22</v>
      </c>
      <c r="H75" s="101">
        <f t="shared" si="6"/>
        <v>2</v>
      </c>
      <c r="CZ75" s="32" t="s">
        <v>227</v>
      </c>
      <c r="DA75" s="32" t="s">
        <v>55</v>
      </c>
      <c r="DB75" s="32" t="s">
        <v>112</v>
      </c>
      <c r="DC75" s="244">
        <v>1</v>
      </c>
      <c r="DD75" s="47" t="s">
        <v>234</v>
      </c>
      <c r="DE75" s="96">
        <v>1</v>
      </c>
      <c r="DI75" s="117"/>
      <c r="DJ75" s="249"/>
    </row>
    <row r="76" spans="1:115" ht="16.05" customHeight="1" x14ac:dyDescent="0.25">
      <c r="A76" s="99">
        <v>40</v>
      </c>
      <c r="B76" s="99" t="s">
        <v>235</v>
      </c>
      <c r="C76" s="99" t="s">
        <v>150</v>
      </c>
      <c r="D76" s="99" t="s">
        <v>27</v>
      </c>
      <c r="E76" s="99" t="s">
        <v>112</v>
      </c>
      <c r="F76" s="28">
        <v>1</v>
      </c>
      <c r="G76" s="28" t="s">
        <v>24</v>
      </c>
      <c r="H76" s="101">
        <f t="shared" si="6"/>
        <v>1</v>
      </c>
      <c r="DC76" s="244">
        <v>2</v>
      </c>
      <c r="DD76" s="243" t="s">
        <v>56</v>
      </c>
      <c r="DE76" s="96">
        <v>1.2</v>
      </c>
      <c r="DH76" s="22"/>
    </row>
    <row r="77" spans="1:115" ht="16.05" customHeight="1" x14ac:dyDescent="0.25">
      <c r="F77" s="28">
        <v>2</v>
      </c>
      <c r="G77" s="28" t="s">
        <v>22</v>
      </c>
      <c r="H77" s="101">
        <f t="shared" si="6"/>
        <v>2</v>
      </c>
      <c r="CZ77" s="32" t="s">
        <v>227</v>
      </c>
      <c r="DA77" s="32" t="s">
        <v>62</v>
      </c>
      <c r="DB77" s="32" t="s">
        <v>112</v>
      </c>
      <c r="DC77" s="244">
        <v>1</v>
      </c>
      <c r="DD77" s="47" t="s">
        <v>236</v>
      </c>
      <c r="DE77" s="96">
        <v>1</v>
      </c>
      <c r="DH77" s="22"/>
    </row>
    <row r="78" spans="1:115" ht="16.05" customHeight="1" x14ac:dyDescent="0.25">
      <c r="A78" s="99">
        <v>41</v>
      </c>
      <c r="B78" s="99" t="s">
        <v>237</v>
      </c>
      <c r="C78" s="99" t="s">
        <v>150</v>
      </c>
      <c r="D78" s="99" t="s">
        <v>29</v>
      </c>
      <c r="E78" s="99" t="s">
        <v>112</v>
      </c>
      <c r="F78" s="28">
        <v>1</v>
      </c>
      <c r="G78" s="28" t="s">
        <v>30</v>
      </c>
      <c r="H78" s="101">
        <f t="shared" si="6"/>
        <v>1</v>
      </c>
      <c r="DC78" s="244">
        <v>2</v>
      </c>
      <c r="DD78" s="47" t="s">
        <v>46</v>
      </c>
      <c r="DE78" s="96">
        <v>1.2</v>
      </c>
      <c r="DH78" s="22"/>
      <c r="DI78"/>
    </row>
    <row r="79" spans="1:115" ht="16.05" customHeight="1" x14ac:dyDescent="0.25">
      <c r="F79" s="28">
        <v>2</v>
      </c>
      <c r="G79" s="28" t="s">
        <v>213</v>
      </c>
      <c r="H79" s="101">
        <f t="shared" si="6"/>
        <v>2</v>
      </c>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c r="AY79" s="12"/>
      <c r="AZ79" s="12"/>
      <c r="BA79" s="12"/>
      <c r="BB79" s="12"/>
      <c r="BC79" s="12"/>
      <c r="BD79" s="12"/>
      <c r="BE79" s="12"/>
      <c r="BF79" s="12"/>
      <c r="BG79" s="12"/>
      <c r="BH79" s="12"/>
      <c r="BI79" s="12"/>
      <c r="BJ79" s="12"/>
      <c r="BK79" s="12"/>
      <c r="BL79" s="12"/>
      <c r="BM79" s="12"/>
      <c r="BN79" s="12"/>
      <c r="BO79" s="12"/>
      <c r="CZ79" s="32" t="s">
        <v>150</v>
      </c>
      <c r="DA79" s="32" t="s">
        <v>85</v>
      </c>
      <c r="DB79" s="32" t="s">
        <v>112</v>
      </c>
      <c r="DC79" s="48">
        <v>1</v>
      </c>
      <c r="DD79" s="48" t="s">
        <v>24</v>
      </c>
      <c r="DE79" s="95">
        <v>0.8</v>
      </c>
      <c r="DF79" s="48">
        <v>0</v>
      </c>
      <c r="DH79" s="22"/>
      <c r="DI79"/>
    </row>
    <row r="80" spans="1:115" ht="16.05" customHeight="1" x14ac:dyDescent="0.25">
      <c r="A80" s="99">
        <v>42</v>
      </c>
      <c r="B80" s="99" t="s">
        <v>238</v>
      </c>
      <c r="C80" s="99" t="s">
        <v>150</v>
      </c>
      <c r="D80" s="99" t="s">
        <v>32</v>
      </c>
      <c r="E80" s="99" t="s">
        <v>112</v>
      </c>
      <c r="F80" s="28">
        <v>1</v>
      </c>
      <c r="G80" s="28" t="s">
        <v>24</v>
      </c>
      <c r="H80" s="101">
        <f t="shared" si="6"/>
        <v>1</v>
      </c>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DC80" s="48">
        <v>2</v>
      </c>
      <c r="DD80" s="48" t="s">
        <v>22</v>
      </c>
      <c r="DE80" s="95">
        <v>1</v>
      </c>
      <c r="DF80" s="48">
        <v>1</v>
      </c>
      <c r="DH80" s="22"/>
      <c r="DI80"/>
    </row>
    <row r="81" spans="1:113" ht="16.05" customHeight="1" x14ac:dyDescent="0.25">
      <c r="F81" s="28">
        <v>2</v>
      </c>
      <c r="G81" s="28" t="s">
        <v>22</v>
      </c>
      <c r="H81" s="101">
        <f t="shared" si="6"/>
        <v>2</v>
      </c>
      <c r="Q81" s="74"/>
      <c r="R81" s="74"/>
      <c r="S81" s="74"/>
      <c r="T81" s="74"/>
      <c r="U81" s="74"/>
      <c r="V81" s="74"/>
      <c r="W81" s="74"/>
      <c r="X81" s="74"/>
      <c r="Y81" s="74"/>
      <c r="Z81" s="74"/>
      <c r="AA81" s="74"/>
      <c r="AB81" s="74"/>
      <c r="AC81" s="74"/>
      <c r="AD81" s="74"/>
      <c r="AE81" s="74"/>
      <c r="AF81" s="74"/>
      <c r="AG81" s="74"/>
      <c r="AH81" s="74"/>
      <c r="AI81" s="74"/>
      <c r="AJ81" s="74"/>
      <c r="AK81" s="74"/>
      <c r="AL81" s="74"/>
      <c r="AM81" s="74"/>
      <c r="AN81" s="74"/>
      <c r="AO81" s="74"/>
      <c r="AP81" s="74"/>
      <c r="AQ81" s="74"/>
      <c r="AR81" s="74"/>
      <c r="AS81" s="74"/>
      <c r="AT81" s="74"/>
      <c r="AU81" s="74"/>
      <c r="AV81" s="74"/>
      <c r="AW81" s="74"/>
      <c r="AX81" s="74"/>
      <c r="AY81" s="74"/>
      <c r="AZ81" s="74"/>
      <c r="BA81" s="74"/>
      <c r="BB81" s="74"/>
      <c r="BC81" s="74"/>
      <c r="BD81" s="74"/>
      <c r="BE81" s="74"/>
      <c r="BF81" s="74"/>
      <c r="BG81" s="74"/>
      <c r="BH81" s="74"/>
      <c r="BI81" s="74"/>
      <c r="BJ81" s="74"/>
      <c r="BK81" s="74"/>
      <c r="BL81" s="74"/>
      <c r="BM81" s="74"/>
      <c r="BN81" s="74"/>
      <c r="BO81" s="74"/>
      <c r="DH81" s="22"/>
      <c r="DI81"/>
    </row>
    <row r="82" spans="1:113" ht="16.05" customHeight="1" x14ac:dyDescent="0.25">
      <c r="A82" s="99">
        <v>43</v>
      </c>
      <c r="B82" s="99" t="s">
        <v>239</v>
      </c>
      <c r="C82" s="99" t="s">
        <v>150</v>
      </c>
      <c r="D82" s="99" t="s">
        <v>34</v>
      </c>
      <c r="E82" s="99" t="s">
        <v>112</v>
      </c>
      <c r="F82" s="28">
        <v>1</v>
      </c>
      <c r="G82" s="28" t="s">
        <v>216</v>
      </c>
      <c r="H82" s="101">
        <f t="shared" si="6"/>
        <v>1</v>
      </c>
      <c r="Q82" s="74"/>
      <c r="R82" s="74"/>
      <c r="S82" s="74"/>
      <c r="T82" s="74"/>
      <c r="U82" s="74"/>
      <c r="V82" s="74"/>
      <c r="W82" s="74"/>
      <c r="X82" s="74"/>
      <c r="Y82" s="74"/>
      <c r="Z82" s="74"/>
      <c r="AA82" s="74"/>
      <c r="AB82" s="74"/>
      <c r="AC82" s="74"/>
      <c r="AD82" s="74"/>
      <c r="AE82" s="74"/>
      <c r="AF82" s="74"/>
      <c r="AG82" s="74"/>
      <c r="AH82" s="74"/>
      <c r="AI82" s="74"/>
      <c r="AJ82" s="74"/>
      <c r="AK82" s="74"/>
      <c r="AL82" s="74"/>
      <c r="AM82" s="74"/>
      <c r="AN82" s="74"/>
      <c r="AO82" s="74"/>
      <c r="AP82" s="74"/>
      <c r="AQ82" s="74"/>
      <c r="AR82" s="74"/>
      <c r="AS82" s="74"/>
      <c r="AT82" s="74"/>
      <c r="AU82" s="74"/>
      <c r="AV82" s="74"/>
      <c r="AW82" s="74"/>
      <c r="AX82" s="74"/>
      <c r="AY82" s="74"/>
      <c r="AZ82" s="74"/>
      <c r="BA82" s="74"/>
      <c r="BB82" s="74"/>
      <c r="BC82" s="74"/>
      <c r="BD82" s="74"/>
      <c r="BE82" s="74"/>
      <c r="BF82" s="74"/>
      <c r="BG82" s="74"/>
      <c r="BH82" s="74"/>
      <c r="BI82" s="74"/>
      <c r="BJ82" s="74"/>
      <c r="BK82" s="74"/>
      <c r="BL82" s="74"/>
      <c r="BM82" s="74"/>
      <c r="BN82" s="74"/>
      <c r="BO82" s="74"/>
      <c r="DH82" s="22"/>
      <c r="DI82"/>
    </row>
    <row r="83" spans="1:113" ht="16.05" customHeight="1" x14ac:dyDescent="0.25">
      <c r="F83" s="28">
        <v>2</v>
      </c>
      <c r="G83" s="28" t="s">
        <v>22</v>
      </c>
      <c r="H83" s="101">
        <f t="shared" si="6"/>
        <v>2</v>
      </c>
      <c r="Q83" s="74"/>
      <c r="R83" s="74"/>
      <c r="S83" s="74"/>
      <c r="T83" s="74"/>
      <c r="U83" s="74"/>
      <c r="V83" s="74"/>
      <c r="W83" s="74"/>
      <c r="X83" s="74"/>
      <c r="Y83" s="74"/>
      <c r="Z83" s="74"/>
      <c r="AA83" s="74"/>
      <c r="AB83" s="74"/>
      <c r="AC83" s="74"/>
      <c r="AD83" s="74"/>
      <c r="AE83" s="74"/>
      <c r="AF83" s="74">
        <v>9</v>
      </c>
      <c r="AG83" s="74">
        <v>10</v>
      </c>
      <c r="AH83" s="74">
        <v>11</v>
      </c>
      <c r="AI83" s="74">
        <v>12</v>
      </c>
      <c r="AJ83" s="74">
        <v>13</v>
      </c>
      <c r="AK83" s="74">
        <v>14</v>
      </c>
      <c r="AL83" s="74">
        <v>15</v>
      </c>
      <c r="AM83" s="74">
        <v>16</v>
      </c>
      <c r="AN83" s="74">
        <v>17</v>
      </c>
      <c r="AO83" s="74">
        <v>18</v>
      </c>
      <c r="AP83" s="74">
        <v>19</v>
      </c>
      <c r="AQ83" s="74">
        <v>20</v>
      </c>
      <c r="AR83" s="74">
        <v>21</v>
      </c>
      <c r="AS83" s="74">
        <v>22</v>
      </c>
      <c r="AT83" s="74">
        <v>23</v>
      </c>
      <c r="AU83" s="74">
        <v>24</v>
      </c>
      <c r="AV83" s="74">
        <v>25</v>
      </c>
      <c r="AW83" s="74">
        <v>26</v>
      </c>
      <c r="AX83" s="74">
        <v>27</v>
      </c>
      <c r="AY83" s="74">
        <v>28</v>
      </c>
      <c r="AZ83" s="74">
        <v>30</v>
      </c>
      <c r="BA83" s="74">
        <v>31</v>
      </c>
      <c r="BB83" s="74">
        <v>32</v>
      </c>
      <c r="BC83" s="74">
        <v>33</v>
      </c>
      <c r="BD83" s="74">
        <v>34</v>
      </c>
      <c r="BE83" s="74">
        <v>35</v>
      </c>
      <c r="BF83" s="74">
        <v>36</v>
      </c>
      <c r="BG83" s="74">
        <v>37</v>
      </c>
      <c r="BH83" s="74">
        <v>38</v>
      </c>
      <c r="BI83" s="74">
        <v>39</v>
      </c>
      <c r="BJ83" s="74">
        <v>40</v>
      </c>
      <c r="BK83" s="74">
        <v>41</v>
      </c>
      <c r="BL83" s="74">
        <v>42</v>
      </c>
      <c r="BM83" s="74">
        <v>43</v>
      </c>
      <c r="BN83" s="74">
        <v>44</v>
      </c>
      <c r="BO83" s="74">
        <v>45</v>
      </c>
      <c r="DH83" s="22"/>
      <c r="DI83"/>
    </row>
    <row r="84" spans="1:113" ht="16.05" customHeight="1" x14ac:dyDescent="0.3">
      <c r="A84" s="99">
        <v>44</v>
      </c>
      <c r="B84" s="99" t="s">
        <v>240</v>
      </c>
      <c r="C84" s="99" t="s">
        <v>150</v>
      </c>
      <c r="D84" s="99" t="s">
        <v>36</v>
      </c>
      <c r="E84" s="99" t="s">
        <v>112</v>
      </c>
      <c r="F84" s="28">
        <v>1</v>
      </c>
      <c r="G84" s="28" t="s">
        <v>221</v>
      </c>
      <c r="H84" s="101">
        <f t="shared" si="6"/>
        <v>1</v>
      </c>
      <c r="Q84" s="74"/>
      <c r="R84" s="74"/>
      <c r="S84" s="74"/>
      <c r="T84" s="74"/>
      <c r="U84" s="74"/>
      <c r="V84" s="74"/>
      <c r="W84" s="74"/>
      <c r="X84" s="74"/>
      <c r="Y84" s="74"/>
      <c r="Z84" s="74"/>
      <c r="AA84" s="74"/>
      <c r="AB84" s="74"/>
      <c r="AC84" s="74"/>
      <c r="AD84" s="74"/>
      <c r="AE84" s="74"/>
      <c r="AF84" s="74">
        <v>9</v>
      </c>
      <c r="AG84" s="74">
        <v>10</v>
      </c>
      <c r="AH84" s="74">
        <v>11</v>
      </c>
      <c r="AI84" s="74">
        <v>12</v>
      </c>
      <c r="AJ84" s="74">
        <v>13</v>
      </c>
      <c r="AK84" s="74">
        <v>14</v>
      </c>
      <c r="AL84" s="74">
        <v>15</v>
      </c>
      <c r="AM84" s="74">
        <v>16</v>
      </c>
      <c r="AN84" s="74">
        <v>17</v>
      </c>
      <c r="AO84" s="74">
        <v>18</v>
      </c>
      <c r="AP84" s="74">
        <v>19</v>
      </c>
      <c r="AQ84" s="74">
        <v>20</v>
      </c>
      <c r="AR84" s="74">
        <v>21</v>
      </c>
      <c r="AS84" s="74">
        <v>22</v>
      </c>
      <c r="AT84" s="74">
        <v>23</v>
      </c>
      <c r="AU84" s="74">
        <v>24</v>
      </c>
      <c r="AV84" s="74">
        <v>25</v>
      </c>
      <c r="AW84" s="74">
        <v>1</v>
      </c>
      <c r="AX84" s="74">
        <v>1</v>
      </c>
      <c r="AY84" s="74">
        <v>1</v>
      </c>
      <c r="AZ84" s="74">
        <v>1</v>
      </c>
      <c r="BA84" s="74">
        <v>31</v>
      </c>
      <c r="BB84" s="74">
        <v>32</v>
      </c>
      <c r="BC84" s="74">
        <v>33</v>
      </c>
      <c r="BD84" s="74">
        <v>34</v>
      </c>
      <c r="BE84" s="74">
        <v>35</v>
      </c>
      <c r="BF84" s="74">
        <v>36</v>
      </c>
      <c r="BG84" s="74">
        <v>37</v>
      </c>
      <c r="BH84" s="74">
        <v>38</v>
      </c>
      <c r="BI84" s="74">
        <v>39</v>
      </c>
      <c r="BJ84" s="74">
        <v>40</v>
      </c>
      <c r="BK84" s="74">
        <v>41</v>
      </c>
      <c r="BL84" s="74">
        <v>42</v>
      </c>
      <c r="BM84" s="74">
        <v>43</v>
      </c>
      <c r="BN84" s="74">
        <v>44</v>
      </c>
      <c r="BO84" s="74">
        <v>45</v>
      </c>
      <c r="CZ84" s="326" t="s">
        <v>241</v>
      </c>
      <c r="DA84" s="326"/>
      <c r="DB84" s="326"/>
      <c r="DC84" s="326"/>
      <c r="DD84" s="326"/>
      <c r="DE84" s="326"/>
      <c r="DF84" s="326"/>
      <c r="DH84" s="22"/>
      <c r="DI84"/>
    </row>
    <row r="85" spans="1:113" ht="15.6" x14ac:dyDescent="0.3">
      <c r="F85" s="28">
        <v>2</v>
      </c>
      <c r="G85" s="28" t="s">
        <v>37</v>
      </c>
      <c r="H85" s="101">
        <f>F85</f>
        <v>2</v>
      </c>
      <c r="Q85" s="74"/>
      <c r="R85" s="74"/>
      <c r="S85" s="74"/>
      <c r="T85" s="74"/>
      <c r="U85" s="74"/>
      <c r="V85" s="74"/>
      <c r="W85" s="74"/>
      <c r="X85" s="74"/>
      <c r="Y85" s="74"/>
      <c r="Z85" s="74"/>
      <c r="AA85" s="74"/>
      <c r="AB85" s="74"/>
      <c r="AC85" s="74"/>
      <c r="AD85" s="74"/>
      <c r="AE85" s="74"/>
      <c r="AF85" s="74">
        <v>9</v>
      </c>
      <c r="AG85" s="74">
        <v>10</v>
      </c>
      <c r="AH85" s="74">
        <v>11</v>
      </c>
      <c r="AI85" s="74">
        <v>12</v>
      </c>
      <c r="AJ85" s="74">
        <v>13</v>
      </c>
      <c r="AK85" s="74">
        <v>14</v>
      </c>
      <c r="AL85" s="74">
        <v>15</v>
      </c>
      <c r="AM85" s="74">
        <v>16</v>
      </c>
      <c r="AN85" s="74">
        <v>17</v>
      </c>
      <c r="AO85" s="74">
        <v>18</v>
      </c>
      <c r="AP85" s="74">
        <v>19</v>
      </c>
      <c r="AQ85" s="74">
        <v>20</v>
      </c>
      <c r="AR85" s="74">
        <v>21</v>
      </c>
      <c r="AS85" s="74">
        <v>22</v>
      </c>
      <c r="AT85" s="74">
        <v>23</v>
      </c>
      <c r="AU85" s="74">
        <v>24</v>
      </c>
      <c r="AV85" s="74">
        <v>25</v>
      </c>
      <c r="AW85" s="74">
        <v>2</v>
      </c>
      <c r="AX85" s="74">
        <v>2</v>
      </c>
      <c r="AY85" s="74">
        <v>2</v>
      </c>
      <c r="AZ85" s="74">
        <v>2</v>
      </c>
      <c r="BA85" s="74">
        <v>2</v>
      </c>
      <c r="BB85" s="74">
        <v>32</v>
      </c>
      <c r="BC85" s="74">
        <v>33</v>
      </c>
      <c r="BD85" s="74">
        <v>34</v>
      </c>
      <c r="BE85" s="74">
        <v>35</v>
      </c>
      <c r="BF85" s="74">
        <v>36</v>
      </c>
      <c r="BG85" s="74">
        <v>37</v>
      </c>
      <c r="BH85" s="74">
        <v>38</v>
      </c>
      <c r="BI85" s="74">
        <v>39</v>
      </c>
      <c r="BJ85" s="74">
        <v>40</v>
      </c>
      <c r="BK85" s="74">
        <v>41</v>
      </c>
      <c r="BL85" s="74">
        <v>42</v>
      </c>
      <c r="BM85" s="74">
        <v>43</v>
      </c>
      <c r="BN85" s="74">
        <v>44</v>
      </c>
      <c r="BO85" s="74">
        <v>45</v>
      </c>
      <c r="CZ85" s="251"/>
      <c r="DA85" s="251"/>
      <c r="DB85" s="251"/>
      <c r="DC85" s="251"/>
      <c r="DE85" s="114" t="s">
        <v>107</v>
      </c>
      <c r="DH85" s="22"/>
      <c r="DI85"/>
    </row>
    <row r="86" spans="1:113" ht="15.6" x14ac:dyDescent="0.3">
      <c r="A86" s="99">
        <v>45</v>
      </c>
      <c r="B86" s="99" t="s">
        <v>242</v>
      </c>
      <c r="C86" s="99" t="s">
        <v>150</v>
      </c>
      <c r="D86" s="99" t="s">
        <v>39</v>
      </c>
      <c r="E86" s="99" t="s">
        <v>112</v>
      </c>
      <c r="F86" s="28">
        <v>1</v>
      </c>
      <c r="G86" s="28" t="s">
        <v>221</v>
      </c>
      <c r="H86" s="101">
        <f>F86</f>
        <v>1</v>
      </c>
      <c r="Q86" s="74"/>
      <c r="R86" s="74"/>
      <c r="S86" s="74"/>
      <c r="T86" s="74"/>
      <c r="U86" s="74"/>
      <c r="V86" s="74"/>
      <c r="W86" s="74"/>
      <c r="X86" s="74"/>
      <c r="Y86" s="74"/>
      <c r="Z86" s="74"/>
      <c r="AA86" s="74"/>
      <c r="AB86" s="74"/>
      <c r="AC86" s="74"/>
      <c r="AD86" s="74"/>
      <c r="AE86" s="74"/>
      <c r="AF86" s="74">
        <v>9</v>
      </c>
      <c r="AG86" s="74">
        <v>10</v>
      </c>
      <c r="AH86" s="74">
        <v>11</v>
      </c>
      <c r="AI86" s="74">
        <v>12</v>
      </c>
      <c r="AJ86" s="74">
        <v>13</v>
      </c>
      <c r="AK86" s="74">
        <v>14</v>
      </c>
      <c r="AL86" s="74">
        <v>15</v>
      </c>
      <c r="AM86" s="74">
        <v>16</v>
      </c>
      <c r="AN86" s="74">
        <v>17</v>
      </c>
      <c r="AO86" s="74">
        <v>18</v>
      </c>
      <c r="AP86" s="74">
        <v>19</v>
      </c>
      <c r="AQ86" s="74">
        <v>20</v>
      </c>
      <c r="AR86" s="74">
        <v>21</v>
      </c>
      <c r="AS86" s="74">
        <v>22</v>
      </c>
      <c r="AT86" s="74">
        <v>23</v>
      </c>
      <c r="AU86" s="74">
        <v>24</v>
      </c>
      <c r="AV86" s="74">
        <v>25</v>
      </c>
      <c r="AW86" s="74">
        <v>3</v>
      </c>
      <c r="AX86" s="74">
        <v>3</v>
      </c>
      <c r="AY86" s="74">
        <v>3</v>
      </c>
      <c r="AZ86" s="74">
        <v>3</v>
      </c>
      <c r="BA86" s="74">
        <v>3</v>
      </c>
      <c r="BB86" s="74">
        <v>32</v>
      </c>
      <c r="BC86" s="74">
        <v>33</v>
      </c>
      <c r="BD86" s="74">
        <v>34</v>
      </c>
      <c r="BE86" s="74">
        <v>35</v>
      </c>
      <c r="BF86" s="74">
        <v>36</v>
      </c>
      <c r="BG86" s="74">
        <v>37</v>
      </c>
      <c r="BH86" s="74">
        <v>38</v>
      </c>
      <c r="BI86" s="74">
        <v>39</v>
      </c>
      <c r="BJ86" s="74">
        <v>40</v>
      </c>
      <c r="BK86" s="74">
        <v>41</v>
      </c>
      <c r="BL86" s="74">
        <v>42</v>
      </c>
      <c r="BM86" s="74">
        <v>43</v>
      </c>
      <c r="BN86" s="74">
        <v>44</v>
      </c>
      <c r="BO86" s="74">
        <v>45</v>
      </c>
      <c r="CZ86" s="251"/>
      <c r="DA86" s="251"/>
      <c r="DB86" s="251"/>
      <c r="DC86" s="114" t="s">
        <v>243</v>
      </c>
      <c r="DD86" s="252" t="s">
        <v>244</v>
      </c>
      <c r="DE86" s="253">
        <f>O58</f>
        <v>0</v>
      </c>
      <c r="DF86" s="251"/>
      <c r="DH86" s="22"/>
      <c r="DI86"/>
    </row>
    <row r="87" spans="1:113" ht="16.05" customHeight="1" x14ac:dyDescent="0.3">
      <c r="F87" s="28">
        <v>2</v>
      </c>
      <c r="G87" s="28" t="s">
        <v>37</v>
      </c>
      <c r="H87" s="101">
        <f>F87</f>
        <v>2</v>
      </c>
      <c r="Q87" s="74"/>
      <c r="R87" s="74"/>
      <c r="S87" s="74"/>
      <c r="T87" s="74"/>
      <c r="U87" s="74"/>
      <c r="V87" s="74"/>
      <c r="W87" s="74"/>
      <c r="X87" s="74"/>
      <c r="Y87" s="74"/>
      <c r="Z87" s="74"/>
      <c r="AA87" s="74"/>
      <c r="AB87" s="74"/>
      <c r="AC87" s="74"/>
      <c r="AD87" s="74"/>
      <c r="AE87" s="74"/>
      <c r="AF87" s="74">
        <v>9</v>
      </c>
      <c r="AG87" s="74">
        <v>10</v>
      </c>
      <c r="AH87" s="74">
        <v>11</v>
      </c>
      <c r="AI87" s="74">
        <v>12</v>
      </c>
      <c r="AJ87" s="74">
        <v>13</v>
      </c>
      <c r="AK87" s="74">
        <v>14</v>
      </c>
      <c r="AL87" s="74">
        <v>15</v>
      </c>
      <c r="AM87" s="74">
        <v>16</v>
      </c>
      <c r="AN87" s="74">
        <v>17</v>
      </c>
      <c r="AO87" s="74">
        <v>18</v>
      </c>
      <c r="AP87" s="74">
        <v>19</v>
      </c>
      <c r="AQ87" s="74">
        <v>20</v>
      </c>
      <c r="AR87" s="74">
        <v>21</v>
      </c>
      <c r="AS87" s="74">
        <v>22</v>
      </c>
      <c r="AT87" s="74">
        <v>23</v>
      </c>
      <c r="AU87" s="74">
        <v>24</v>
      </c>
      <c r="AV87" s="74">
        <v>25</v>
      </c>
      <c r="AW87" s="74">
        <v>4</v>
      </c>
      <c r="AX87" s="74">
        <v>4</v>
      </c>
      <c r="AY87" s="74">
        <v>4</v>
      </c>
      <c r="AZ87" s="74">
        <v>4</v>
      </c>
      <c r="BA87" s="74">
        <v>4</v>
      </c>
      <c r="BB87" s="74">
        <v>4</v>
      </c>
      <c r="BC87" s="74">
        <v>33</v>
      </c>
      <c r="BD87" s="74">
        <v>34</v>
      </c>
      <c r="BE87" s="74">
        <v>35</v>
      </c>
      <c r="BF87" s="74">
        <v>36</v>
      </c>
      <c r="BG87" s="74">
        <v>37</v>
      </c>
      <c r="BH87" s="74">
        <v>38</v>
      </c>
      <c r="BI87" s="74">
        <v>39</v>
      </c>
      <c r="BJ87" s="74">
        <v>40</v>
      </c>
      <c r="BK87" s="74">
        <v>41</v>
      </c>
      <c r="BL87" s="74">
        <v>42</v>
      </c>
      <c r="BM87" s="74">
        <v>43</v>
      </c>
      <c r="BN87" s="74">
        <v>44</v>
      </c>
      <c r="BO87" s="74">
        <v>45</v>
      </c>
      <c r="CZ87" s="251"/>
      <c r="DA87" s="251"/>
      <c r="DB87" s="251"/>
      <c r="DC87" s="114" t="s">
        <v>245</v>
      </c>
      <c r="DD87" s="252" t="s">
        <v>67</v>
      </c>
      <c r="DE87" s="253">
        <f>ROUND(O57,0)</f>
        <v>42</v>
      </c>
      <c r="DF87" s="251"/>
      <c r="DH87" s="22"/>
      <c r="DI87"/>
    </row>
    <row r="88" spans="1:113" ht="16.05" customHeight="1" x14ac:dyDescent="0.25">
      <c r="A88" s="99">
        <v>46</v>
      </c>
      <c r="B88" s="99" t="s">
        <v>246</v>
      </c>
      <c r="C88" s="99" t="s">
        <v>150</v>
      </c>
      <c r="D88" s="99" t="s">
        <v>42</v>
      </c>
      <c r="E88" s="99" t="s">
        <v>112</v>
      </c>
      <c r="F88" s="28">
        <v>1</v>
      </c>
      <c r="G88" s="28" t="s">
        <v>24</v>
      </c>
      <c r="H88" s="28">
        <v>1</v>
      </c>
      <c r="Q88" s="74"/>
      <c r="R88" s="74"/>
      <c r="S88" s="74"/>
      <c r="T88" s="74"/>
      <c r="U88" s="74"/>
      <c r="V88" s="74"/>
      <c r="W88" s="74"/>
      <c r="X88" s="74"/>
      <c r="Y88" s="74"/>
      <c r="Z88" s="74"/>
      <c r="AA88" s="74"/>
      <c r="AB88" s="74"/>
      <c r="AC88" s="74"/>
      <c r="AD88" s="74"/>
      <c r="AE88" s="74"/>
      <c r="AF88" s="74">
        <v>9</v>
      </c>
      <c r="AG88" s="74">
        <v>10</v>
      </c>
      <c r="AH88" s="74">
        <v>11</v>
      </c>
      <c r="AI88" s="74">
        <v>12</v>
      </c>
      <c r="AJ88" s="74">
        <v>13</v>
      </c>
      <c r="AK88" s="74">
        <v>14</v>
      </c>
      <c r="AL88" s="74">
        <v>15</v>
      </c>
      <c r="AM88" s="74">
        <v>16</v>
      </c>
      <c r="AN88" s="74">
        <v>17</v>
      </c>
      <c r="AO88" s="74">
        <v>18</v>
      </c>
      <c r="AP88" s="74">
        <v>19</v>
      </c>
      <c r="AQ88" s="74">
        <v>20</v>
      </c>
      <c r="AR88" s="74">
        <v>21</v>
      </c>
      <c r="AS88" s="74">
        <v>22</v>
      </c>
      <c r="AT88" s="74">
        <v>23</v>
      </c>
      <c r="AU88" s="74">
        <v>24</v>
      </c>
      <c r="AV88" s="74">
        <v>25</v>
      </c>
      <c r="AW88" s="74">
        <v>5</v>
      </c>
      <c r="AX88" s="74">
        <v>5</v>
      </c>
      <c r="AY88" s="74">
        <v>5</v>
      </c>
      <c r="AZ88" s="74">
        <v>5</v>
      </c>
      <c r="BA88" s="74">
        <v>5</v>
      </c>
      <c r="BB88" s="74">
        <v>5</v>
      </c>
      <c r="BC88" s="74">
        <v>5</v>
      </c>
      <c r="BD88" s="74">
        <v>34</v>
      </c>
      <c r="BE88" s="74">
        <v>35</v>
      </c>
      <c r="BF88" s="74">
        <v>36</v>
      </c>
      <c r="BG88" s="74">
        <v>37</v>
      </c>
      <c r="BH88" s="74">
        <v>38</v>
      </c>
      <c r="BI88" s="74">
        <v>39</v>
      </c>
      <c r="BJ88" s="74">
        <v>40</v>
      </c>
      <c r="BK88" s="74">
        <v>41</v>
      </c>
      <c r="BL88" s="74">
        <v>42</v>
      </c>
      <c r="BM88" s="74">
        <v>43</v>
      </c>
      <c r="BN88" s="74">
        <v>44</v>
      </c>
      <c r="BO88" s="74">
        <v>45</v>
      </c>
      <c r="CZ88" s="241" t="s">
        <v>227</v>
      </c>
      <c r="DA88" s="241" t="s">
        <v>217</v>
      </c>
      <c r="DB88" s="250" t="e">
        <f ca="1">OFFSET(DD89,MATCH(DE87,DD90:DD239,0),MATCH(DE86,DE89:DF89,0))</f>
        <v>#N/A</v>
      </c>
      <c r="DE88" s="254" t="s">
        <v>247</v>
      </c>
      <c r="DF88" s="294" t="s">
        <v>70</v>
      </c>
      <c r="DG88" s="324" t="s">
        <v>393</v>
      </c>
      <c r="DH88" s="22"/>
      <c r="DI88"/>
    </row>
    <row r="89" spans="1:113" ht="16.05" customHeight="1" x14ac:dyDescent="0.3">
      <c r="F89" s="28">
        <v>2</v>
      </c>
      <c r="G89" s="28" t="s">
        <v>22</v>
      </c>
      <c r="H89" s="28">
        <v>2</v>
      </c>
      <c r="Q89" s="74"/>
      <c r="R89" s="74"/>
      <c r="S89" s="74"/>
      <c r="T89" s="74"/>
      <c r="U89" s="74"/>
      <c r="V89" s="74"/>
      <c r="W89" s="74"/>
      <c r="X89" s="74"/>
      <c r="Y89" s="74"/>
      <c r="Z89" s="74"/>
      <c r="AA89" s="74"/>
      <c r="AB89" s="74"/>
      <c r="AC89" s="74"/>
      <c r="AD89" s="74"/>
      <c r="AE89" s="74"/>
      <c r="AF89" s="74">
        <v>9</v>
      </c>
      <c r="AG89" s="74">
        <v>10</v>
      </c>
      <c r="AH89" s="74">
        <v>11</v>
      </c>
      <c r="AI89" s="74">
        <v>12</v>
      </c>
      <c r="AJ89" s="74">
        <v>13</v>
      </c>
      <c r="AK89" s="74">
        <v>14</v>
      </c>
      <c r="AL89" s="74">
        <v>15</v>
      </c>
      <c r="AM89" s="74">
        <v>16</v>
      </c>
      <c r="AN89" s="74">
        <v>17</v>
      </c>
      <c r="AO89" s="74">
        <v>18</v>
      </c>
      <c r="AP89" s="74">
        <v>19</v>
      </c>
      <c r="AQ89" s="74">
        <v>20</v>
      </c>
      <c r="AR89" s="74">
        <v>21</v>
      </c>
      <c r="AS89" s="74">
        <v>22</v>
      </c>
      <c r="AT89" s="74">
        <v>23</v>
      </c>
      <c r="AU89" s="74">
        <v>24</v>
      </c>
      <c r="AV89" s="74">
        <v>25</v>
      </c>
      <c r="AW89" s="74">
        <v>6</v>
      </c>
      <c r="AX89" s="74">
        <v>6</v>
      </c>
      <c r="AY89" s="74">
        <v>6</v>
      </c>
      <c r="AZ89" s="74">
        <v>6</v>
      </c>
      <c r="BA89" s="74">
        <v>6</v>
      </c>
      <c r="BB89" s="74">
        <v>6</v>
      </c>
      <c r="BC89" s="74">
        <v>6</v>
      </c>
      <c r="BD89" s="74">
        <v>34</v>
      </c>
      <c r="BE89" s="74">
        <v>35</v>
      </c>
      <c r="BF89" s="74">
        <v>36</v>
      </c>
      <c r="BG89" s="74">
        <v>37</v>
      </c>
      <c r="BH89" s="74">
        <v>38</v>
      </c>
      <c r="BI89" s="74">
        <v>39</v>
      </c>
      <c r="BJ89" s="74">
        <v>40</v>
      </c>
      <c r="BK89" s="74">
        <v>41</v>
      </c>
      <c r="BL89" s="74">
        <v>42</v>
      </c>
      <c r="BM89" s="74">
        <v>43</v>
      </c>
      <c r="BN89" s="74">
        <v>44</v>
      </c>
      <c r="BO89" s="74">
        <v>45</v>
      </c>
      <c r="CZ89" s="251"/>
      <c r="DA89" s="251"/>
      <c r="DB89" s="251"/>
      <c r="DD89" s="114" t="s">
        <v>107</v>
      </c>
      <c r="DE89" s="255">
        <v>1</v>
      </c>
      <c r="DF89" s="117">
        <v>2</v>
      </c>
      <c r="DG89" s="325"/>
      <c r="DH89" s="22"/>
      <c r="DI89"/>
    </row>
    <row r="90" spans="1:113" ht="16.05" customHeight="1" x14ac:dyDescent="0.3">
      <c r="A90" s="99">
        <v>47</v>
      </c>
      <c r="B90" s="99" t="s">
        <v>248</v>
      </c>
      <c r="C90" s="99" t="s">
        <v>227</v>
      </c>
      <c r="D90" s="99" t="s">
        <v>45</v>
      </c>
      <c r="E90" s="99" t="s">
        <v>112</v>
      </c>
      <c r="F90" s="28">
        <v>1</v>
      </c>
      <c r="G90" s="28" t="s">
        <v>228</v>
      </c>
      <c r="H90" s="28">
        <v>1</v>
      </c>
      <c r="Q90" s="74"/>
      <c r="R90" s="74"/>
      <c r="S90" s="74"/>
      <c r="T90" s="74"/>
      <c r="U90" s="74"/>
      <c r="V90" s="74"/>
      <c r="W90" s="74"/>
      <c r="X90" s="74"/>
      <c r="Y90" s="74"/>
      <c r="Z90" s="74"/>
      <c r="AA90" s="74"/>
      <c r="AB90" s="74"/>
      <c r="AC90" s="74"/>
      <c r="AD90" s="74"/>
      <c r="AE90" s="74"/>
      <c r="AF90" s="74">
        <v>9</v>
      </c>
      <c r="AG90" s="74">
        <v>10</v>
      </c>
      <c r="AH90" s="74">
        <v>11</v>
      </c>
      <c r="AI90" s="74">
        <v>12</v>
      </c>
      <c r="AJ90" s="74">
        <v>13</v>
      </c>
      <c r="AK90" s="74">
        <v>14</v>
      </c>
      <c r="AL90" s="74">
        <v>15</v>
      </c>
      <c r="AM90" s="74">
        <v>16</v>
      </c>
      <c r="AN90" s="74">
        <v>17</v>
      </c>
      <c r="AO90" s="74">
        <v>18</v>
      </c>
      <c r="AP90" s="74">
        <v>19</v>
      </c>
      <c r="AQ90" s="74">
        <v>20</v>
      </c>
      <c r="AR90" s="74">
        <v>21</v>
      </c>
      <c r="AS90" s="74">
        <v>22</v>
      </c>
      <c r="AT90" s="74">
        <v>23</v>
      </c>
      <c r="AU90" s="74">
        <v>24</v>
      </c>
      <c r="AV90" s="74">
        <v>25</v>
      </c>
      <c r="AW90" s="74">
        <v>7</v>
      </c>
      <c r="AX90" s="74">
        <v>7</v>
      </c>
      <c r="AY90" s="74">
        <v>7</v>
      </c>
      <c r="AZ90" s="74">
        <v>7</v>
      </c>
      <c r="BA90" s="74">
        <v>7</v>
      </c>
      <c r="BB90" s="74">
        <v>7</v>
      </c>
      <c r="BC90" s="74">
        <v>7</v>
      </c>
      <c r="BD90" s="74">
        <v>7</v>
      </c>
      <c r="BE90" s="74">
        <v>35</v>
      </c>
      <c r="BF90" s="74">
        <v>36</v>
      </c>
      <c r="BG90" s="74">
        <v>37</v>
      </c>
      <c r="BH90" s="74">
        <v>38</v>
      </c>
      <c r="BI90" s="74">
        <v>39</v>
      </c>
      <c r="BJ90" s="74">
        <v>40</v>
      </c>
      <c r="BK90" s="74">
        <v>41</v>
      </c>
      <c r="BL90" s="74">
        <v>42</v>
      </c>
      <c r="BM90" s="74">
        <v>43</v>
      </c>
      <c r="BN90" s="74">
        <v>44</v>
      </c>
      <c r="BO90" s="74">
        <v>45</v>
      </c>
      <c r="CZ90" s="251"/>
      <c r="DA90" s="251"/>
      <c r="DB90" s="251"/>
      <c r="DD90" s="260">
        <v>1</v>
      </c>
      <c r="DE90" s="256">
        <v>1</v>
      </c>
      <c r="DF90" s="257">
        <v>1</v>
      </c>
      <c r="DH90" s="22"/>
      <c r="DI90"/>
    </row>
    <row r="91" spans="1:113" ht="16.05" customHeight="1" x14ac:dyDescent="0.3">
      <c r="F91" s="28">
        <v>2</v>
      </c>
      <c r="G91" s="28" t="s">
        <v>103</v>
      </c>
      <c r="H91" s="101">
        <f t="shared" ref="H91:H104" si="15">F91</f>
        <v>2</v>
      </c>
      <c r="Q91" s="74"/>
      <c r="R91" s="74"/>
      <c r="S91" s="74"/>
      <c r="T91" s="74"/>
      <c r="U91" s="74"/>
      <c r="V91" s="74"/>
      <c r="W91" s="74"/>
      <c r="X91" s="74"/>
      <c r="Y91" s="74"/>
      <c r="Z91" s="74"/>
      <c r="AA91" s="74"/>
      <c r="AB91" s="74"/>
      <c r="AC91" s="74"/>
      <c r="AD91" s="74"/>
      <c r="AE91" s="74"/>
      <c r="AF91" s="74">
        <v>9</v>
      </c>
      <c r="AG91" s="74">
        <v>10</v>
      </c>
      <c r="AH91" s="74">
        <v>11</v>
      </c>
      <c r="AI91" s="74">
        <v>12</v>
      </c>
      <c r="AJ91" s="74">
        <v>13</v>
      </c>
      <c r="AK91" s="74">
        <v>14</v>
      </c>
      <c r="AL91" s="74">
        <v>15</v>
      </c>
      <c r="AM91" s="74">
        <v>16</v>
      </c>
      <c r="AN91" s="74">
        <v>17</v>
      </c>
      <c r="AO91" s="74">
        <v>18</v>
      </c>
      <c r="AP91" s="74">
        <v>19</v>
      </c>
      <c r="AQ91" s="74">
        <v>20</v>
      </c>
      <c r="AR91" s="74">
        <v>21</v>
      </c>
      <c r="AS91" s="74">
        <v>22</v>
      </c>
      <c r="AT91" s="74">
        <v>23</v>
      </c>
      <c r="AU91" s="74">
        <v>24</v>
      </c>
      <c r="AV91" s="74">
        <v>25</v>
      </c>
      <c r="AW91" s="74">
        <v>8</v>
      </c>
      <c r="AX91" s="74">
        <v>8</v>
      </c>
      <c r="AY91" s="74">
        <v>8</v>
      </c>
      <c r="AZ91" s="74">
        <v>8</v>
      </c>
      <c r="BA91" s="74">
        <v>8</v>
      </c>
      <c r="BB91" s="74">
        <v>8</v>
      </c>
      <c r="BC91" s="74">
        <v>8</v>
      </c>
      <c r="BD91" s="74">
        <v>8</v>
      </c>
      <c r="BE91" s="74">
        <v>8</v>
      </c>
      <c r="BF91" s="74">
        <v>36</v>
      </c>
      <c r="BG91" s="74">
        <v>37</v>
      </c>
      <c r="BH91" s="74">
        <v>38</v>
      </c>
      <c r="BI91" s="74">
        <v>39</v>
      </c>
      <c r="BJ91" s="74">
        <v>40</v>
      </c>
      <c r="BK91" s="74">
        <v>41</v>
      </c>
      <c r="BL91" s="74">
        <v>42</v>
      </c>
      <c r="BM91" s="74">
        <v>43</v>
      </c>
      <c r="BN91" s="74">
        <v>44</v>
      </c>
      <c r="BO91" s="74">
        <v>45</v>
      </c>
      <c r="CZ91" s="251"/>
      <c r="DA91" s="251"/>
      <c r="DB91" s="251"/>
      <c r="DC91" s="251"/>
      <c r="DD91" s="261">
        <v>2</v>
      </c>
      <c r="DE91" s="256">
        <f>1+27.82/(1+EXP('Speed risk factors'!$I$3-'Speed risk factors'!$I$2*'Speed risk factors'!B4))</f>
        <v>1.0883520644080664</v>
      </c>
      <c r="DF91" s="257">
        <f t="shared" ref="DF91:DF122" si="16">1+27.82/(1+EXP(7.44925-0.13322*((DD91*1.609344))))</f>
        <v>1.0248326932704201</v>
      </c>
      <c r="DH91" s="22"/>
      <c r="DI91"/>
    </row>
    <row r="92" spans="1:113" ht="16.05" customHeight="1" x14ac:dyDescent="0.3">
      <c r="F92" s="28">
        <v>3</v>
      </c>
      <c r="G92" s="28" t="s">
        <v>46</v>
      </c>
      <c r="H92" s="101">
        <f t="shared" si="15"/>
        <v>3</v>
      </c>
      <c r="Q92" s="74"/>
      <c r="R92" s="74"/>
      <c r="S92" s="74"/>
      <c r="T92" s="74"/>
      <c r="U92" s="74"/>
      <c r="V92" s="74"/>
      <c r="W92" s="74"/>
      <c r="X92" s="74"/>
      <c r="Y92" s="74"/>
      <c r="Z92" s="74"/>
      <c r="AA92" s="74"/>
      <c r="AB92" s="74"/>
      <c r="AC92" s="74"/>
      <c r="AD92" s="74"/>
      <c r="AE92" s="74"/>
      <c r="AF92" s="74">
        <v>9</v>
      </c>
      <c r="AG92" s="74">
        <v>10</v>
      </c>
      <c r="AH92" s="74">
        <v>11</v>
      </c>
      <c r="AI92" s="74">
        <v>12</v>
      </c>
      <c r="AJ92" s="74">
        <v>13</v>
      </c>
      <c r="AK92" s="74">
        <v>14</v>
      </c>
      <c r="AL92" s="74">
        <v>15</v>
      </c>
      <c r="AM92" s="74">
        <v>16</v>
      </c>
      <c r="AN92" s="74">
        <v>17</v>
      </c>
      <c r="AO92" s="74">
        <v>18</v>
      </c>
      <c r="AP92" s="74">
        <v>19</v>
      </c>
      <c r="AQ92" s="74">
        <v>20</v>
      </c>
      <c r="AR92" s="74">
        <v>21</v>
      </c>
      <c r="AS92" s="74">
        <v>22</v>
      </c>
      <c r="AT92" s="74">
        <v>23</v>
      </c>
      <c r="AU92" s="74">
        <v>24</v>
      </c>
      <c r="AV92" s="74">
        <v>25</v>
      </c>
      <c r="AW92" s="74">
        <v>9</v>
      </c>
      <c r="AX92" s="74">
        <v>9</v>
      </c>
      <c r="AY92" s="74">
        <v>9</v>
      </c>
      <c r="AZ92" s="74">
        <v>9</v>
      </c>
      <c r="BA92" s="74">
        <v>9</v>
      </c>
      <c r="BB92" s="74">
        <v>9</v>
      </c>
      <c r="BC92" s="74">
        <v>9</v>
      </c>
      <c r="BD92" s="74">
        <v>9</v>
      </c>
      <c r="BE92" s="74">
        <v>9</v>
      </c>
      <c r="BF92" s="74">
        <v>36</v>
      </c>
      <c r="BG92" s="74">
        <v>37</v>
      </c>
      <c r="BH92" s="74">
        <v>38</v>
      </c>
      <c r="BI92" s="74">
        <v>39</v>
      </c>
      <c r="BJ92" s="74">
        <v>40</v>
      </c>
      <c r="BK92" s="74">
        <v>41</v>
      </c>
      <c r="BL92" s="74">
        <v>42</v>
      </c>
      <c r="BM92" s="74">
        <v>43</v>
      </c>
      <c r="BN92" s="74">
        <v>44</v>
      </c>
      <c r="BO92" s="74">
        <v>45</v>
      </c>
      <c r="CZ92" s="251"/>
      <c r="DA92" s="251"/>
      <c r="DB92" s="251"/>
      <c r="DC92" s="251"/>
      <c r="DD92" s="261">
        <v>3</v>
      </c>
      <c r="DE92" s="256">
        <f>1+27.82/(1+EXP('Speed risk factors'!$I$3-'Speed risk factors'!$I$2*'Speed risk factors'!B5))</f>
        <v>1.0967400080604719</v>
      </c>
      <c r="DF92" s="257">
        <f t="shared" si="16"/>
        <v>1.0307639778221893</v>
      </c>
      <c r="DH92" s="22"/>
      <c r="DI92"/>
    </row>
    <row r="93" spans="1:113" ht="16.05" customHeight="1" x14ac:dyDescent="0.3">
      <c r="A93" s="99">
        <v>48</v>
      </c>
      <c r="B93" s="99" t="s">
        <v>249</v>
      </c>
      <c r="C93" s="99" t="s">
        <v>227</v>
      </c>
      <c r="D93" s="99" t="s">
        <v>48</v>
      </c>
      <c r="E93" s="99" t="s">
        <v>112</v>
      </c>
      <c r="F93" s="28">
        <v>1</v>
      </c>
      <c r="G93" s="28" t="s">
        <v>103</v>
      </c>
      <c r="H93" s="101">
        <f t="shared" si="15"/>
        <v>1</v>
      </c>
      <c r="Q93" s="74"/>
      <c r="R93" s="74"/>
      <c r="S93" s="74"/>
      <c r="T93" s="74"/>
      <c r="U93" s="74"/>
      <c r="V93" s="74"/>
      <c r="W93" s="74"/>
      <c r="X93" s="74"/>
      <c r="Y93" s="74"/>
      <c r="Z93" s="74"/>
      <c r="AA93" s="74"/>
      <c r="AB93" s="74"/>
      <c r="AC93" s="74"/>
      <c r="AD93" s="74"/>
      <c r="AE93" s="74"/>
      <c r="AF93" s="74">
        <v>10</v>
      </c>
      <c r="AG93" s="74">
        <v>10</v>
      </c>
      <c r="AH93" s="74">
        <v>11</v>
      </c>
      <c r="AI93" s="74">
        <v>12</v>
      </c>
      <c r="AJ93" s="74">
        <v>13</v>
      </c>
      <c r="AK93" s="74">
        <v>14</v>
      </c>
      <c r="AL93" s="74">
        <v>15</v>
      </c>
      <c r="AM93" s="74">
        <v>16</v>
      </c>
      <c r="AN93" s="74">
        <v>17</v>
      </c>
      <c r="AO93" s="74">
        <v>18</v>
      </c>
      <c r="AP93" s="74">
        <v>19</v>
      </c>
      <c r="AQ93" s="74">
        <v>20</v>
      </c>
      <c r="AR93" s="74">
        <v>21</v>
      </c>
      <c r="AS93" s="74">
        <v>22</v>
      </c>
      <c r="AT93" s="74">
        <v>23</v>
      </c>
      <c r="AU93" s="74">
        <v>24</v>
      </c>
      <c r="AV93" s="74">
        <v>25</v>
      </c>
      <c r="AW93" s="74">
        <v>10</v>
      </c>
      <c r="AX93" s="74">
        <v>10</v>
      </c>
      <c r="AY93" s="74">
        <v>10</v>
      </c>
      <c r="AZ93" s="74">
        <v>10</v>
      </c>
      <c r="BA93" s="74">
        <v>10</v>
      </c>
      <c r="BB93" s="74">
        <v>10</v>
      </c>
      <c r="BC93" s="74">
        <v>10</v>
      </c>
      <c r="BD93" s="74">
        <v>10</v>
      </c>
      <c r="BE93" s="74">
        <v>10</v>
      </c>
      <c r="BF93" s="74">
        <v>10</v>
      </c>
      <c r="BG93" s="74">
        <v>37</v>
      </c>
      <c r="BH93" s="74">
        <v>38</v>
      </c>
      <c r="BI93" s="74">
        <v>39</v>
      </c>
      <c r="BJ93" s="74">
        <v>40</v>
      </c>
      <c r="BK93" s="74">
        <v>41</v>
      </c>
      <c r="BL93" s="74">
        <v>42</v>
      </c>
      <c r="BM93" s="74">
        <v>43</v>
      </c>
      <c r="BN93" s="74">
        <v>44</v>
      </c>
      <c r="BO93" s="74">
        <v>45</v>
      </c>
      <c r="CZ93" s="251"/>
      <c r="DA93" s="251"/>
      <c r="DB93" s="251"/>
      <c r="DC93" s="251"/>
      <c r="DD93" s="261">
        <v>4</v>
      </c>
      <c r="DE93" s="256">
        <f>1+27.82/(1+EXP('Speed risk factors'!$I$3-'Speed risk factors'!$I$2*'Speed risk factors'!B6))</f>
        <v>1.1059212423710705</v>
      </c>
      <c r="DF93" s="257">
        <f t="shared" si="16"/>
        <v>1.0381100062561521</v>
      </c>
      <c r="DH93" s="22"/>
      <c r="DI93"/>
    </row>
    <row r="94" spans="1:113" ht="16.05" customHeight="1" x14ac:dyDescent="0.3">
      <c r="F94" s="28">
        <v>2</v>
      </c>
      <c r="G94" s="28" t="s">
        <v>46</v>
      </c>
      <c r="H94" s="101">
        <f t="shared" si="15"/>
        <v>2</v>
      </c>
      <c r="Q94" s="74"/>
      <c r="R94" s="74"/>
      <c r="S94" s="74"/>
      <c r="T94" s="74"/>
      <c r="U94" s="74"/>
      <c r="V94" s="74"/>
      <c r="W94" s="74"/>
      <c r="X94" s="74"/>
      <c r="Y94" s="74"/>
      <c r="Z94" s="74"/>
      <c r="AA94" s="74"/>
      <c r="AB94" s="74"/>
      <c r="AC94" s="74"/>
      <c r="AD94" s="74"/>
      <c r="AE94" s="74"/>
      <c r="AF94" s="74">
        <v>11</v>
      </c>
      <c r="AG94" s="74">
        <v>11</v>
      </c>
      <c r="AH94" s="74">
        <v>11</v>
      </c>
      <c r="AI94" s="74">
        <v>12</v>
      </c>
      <c r="AJ94" s="74">
        <v>13</v>
      </c>
      <c r="AK94" s="74">
        <v>14</v>
      </c>
      <c r="AL94" s="74">
        <v>15</v>
      </c>
      <c r="AM94" s="74">
        <v>16</v>
      </c>
      <c r="AN94" s="74">
        <v>17</v>
      </c>
      <c r="AO94" s="74">
        <v>18</v>
      </c>
      <c r="AP94" s="74">
        <v>19</v>
      </c>
      <c r="AQ94" s="74">
        <v>20</v>
      </c>
      <c r="AR94" s="74">
        <v>21</v>
      </c>
      <c r="AS94" s="74">
        <v>22</v>
      </c>
      <c r="AT94" s="74">
        <v>23</v>
      </c>
      <c r="AU94" s="74">
        <v>24</v>
      </c>
      <c r="AV94" s="74">
        <v>25</v>
      </c>
      <c r="AW94" s="74">
        <v>11</v>
      </c>
      <c r="AX94" s="74">
        <v>11</v>
      </c>
      <c r="AY94" s="74">
        <v>11</v>
      </c>
      <c r="AZ94" s="74">
        <v>11</v>
      </c>
      <c r="BA94" s="74">
        <v>11</v>
      </c>
      <c r="BB94" s="74">
        <v>11</v>
      </c>
      <c r="BC94" s="74">
        <v>11</v>
      </c>
      <c r="BD94" s="74">
        <v>11</v>
      </c>
      <c r="BE94" s="74">
        <v>11</v>
      </c>
      <c r="BF94" s="74">
        <v>11</v>
      </c>
      <c r="BG94" s="74">
        <v>37</v>
      </c>
      <c r="BH94" s="74">
        <v>38</v>
      </c>
      <c r="BI94" s="74">
        <v>39</v>
      </c>
      <c r="BJ94" s="74">
        <v>40</v>
      </c>
      <c r="BK94" s="74">
        <v>41</v>
      </c>
      <c r="BL94" s="74">
        <v>42</v>
      </c>
      <c r="BM94" s="74">
        <v>43</v>
      </c>
      <c r="BN94" s="74">
        <v>44</v>
      </c>
      <c r="BO94" s="74">
        <v>45</v>
      </c>
      <c r="CZ94" s="251"/>
      <c r="DA94" s="251"/>
      <c r="DB94" s="251"/>
      <c r="DC94" s="251"/>
      <c r="DD94" s="261">
        <v>5</v>
      </c>
      <c r="DE94" s="256">
        <f>1+27.82/(1+EXP('Speed risk factors'!$I$3-'Speed risk factors'!$I$2*'Speed risk factors'!B7))</f>
        <v>1.115970188472984</v>
      </c>
      <c r="DF94" s="257">
        <f t="shared" si="16"/>
        <v>1.0472071886552112</v>
      </c>
      <c r="DG94" s="62">
        <f>DE94</f>
        <v>1.115970188472984</v>
      </c>
      <c r="DH94" s="22"/>
      <c r="DI94"/>
    </row>
    <row r="95" spans="1:113" ht="16.05" customHeight="1" x14ac:dyDescent="0.3">
      <c r="A95" s="99">
        <v>49</v>
      </c>
      <c r="B95" s="99" t="s">
        <v>250</v>
      </c>
      <c r="C95" s="99" t="s">
        <v>227</v>
      </c>
      <c r="D95" s="99" t="s">
        <v>50</v>
      </c>
      <c r="E95" s="99" t="s">
        <v>112</v>
      </c>
      <c r="F95" s="28">
        <v>1</v>
      </c>
      <c r="G95" s="28" t="s">
        <v>103</v>
      </c>
      <c r="H95" s="101">
        <f t="shared" si="15"/>
        <v>1</v>
      </c>
      <c r="Q95" s="74"/>
      <c r="R95" s="74"/>
      <c r="S95" s="74"/>
      <c r="T95" s="74"/>
      <c r="U95" s="74"/>
      <c r="V95" s="74"/>
      <c r="W95" s="74"/>
      <c r="X95" s="74"/>
      <c r="Y95" s="74"/>
      <c r="Z95" s="74"/>
      <c r="AA95" s="74"/>
      <c r="AB95" s="74"/>
      <c r="AC95" s="74"/>
      <c r="AD95" s="74"/>
      <c r="AE95" s="74"/>
      <c r="AF95" s="74">
        <v>12</v>
      </c>
      <c r="AG95" s="74">
        <v>12</v>
      </c>
      <c r="AH95" s="74">
        <v>12</v>
      </c>
      <c r="AI95" s="74">
        <v>12</v>
      </c>
      <c r="AJ95" s="74">
        <v>13</v>
      </c>
      <c r="AK95" s="74">
        <v>14</v>
      </c>
      <c r="AL95" s="74">
        <v>15</v>
      </c>
      <c r="AM95" s="74">
        <v>16</v>
      </c>
      <c r="AN95" s="74">
        <v>17</v>
      </c>
      <c r="AO95" s="74">
        <v>18</v>
      </c>
      <c r="AP95" s="74">
        <v>19</v>
      </c>
      <c r="AQ95" s="74">
        <v>20</v>
      </c>
      <c r="AR95" s="74">
        <v>21</v>
      </c>
      <c r="AS95" s="74">
        <v>22</v>
      </c>
      <c r="AT95" s="74">
        <v>23</v>
      </c>
      <c r="AU95" s="74">
        <v>24</v>
      </c>
      <c r="AV95" s="74">
        <v>25</v>
      </c>
      <c r="AW95" s="74">
        <v>12</v>
      </c>
      <c r="AX95" s="74">
        <v>12</v>
      </c>
      <c r="AY95" s="74">
        <v>12</v>
      </c>
      <c r="AZ95" s="74">
        <v>12</v>
      </c>
      <c r="BA95" s="74">
        <v>12</v>
      </c>
      <c r="BB95" s="74">
        <v>12</v>
      </c>
      <c r="BC95" s="74">
        <v>12</v>
      </c>
      <c r="BD95" s="74">
        <v>12</v>
      </c>
      <c r="BE95" s="74">
        <v>12</v>
      </c>
      <c r="BF95" s="74">
        <v>12</v>
      </c>
      <c r="BG95" s="74">
        <v>12</v>
      </c>
      <c r="BH95" s="74">
        <v>38</v>
      </c>
      <c r="BI95" s="74">
        <v>39</v>
      </c>
      <c r="BJ95" s="74">
        <v>40</v>
      </c>
      <c r="BK95" s="74">
        <v>41</v>
      </c>
      <c r="BL95" s="74">
        <v>42</v>
      </c>
      <c r="BM95" s="74">
        <v>43</v>
      </c>
      <c r="BN95" s="74">
        <v>44</v>
      </c>
      <c r="BO95" s="74">
        <v>45</v>
      </c>
      <c r="CZ95" s="251"/>
      <c r="DA95" s="251"/>
      <c r="DB95" s="251"/>
      <c r="DC95" s="251"/>
      <c r="DD95" s="261">
        <v>6</v>
      </c>
      <c r="DE95" s="256">
        <f>1+27.82/(1+EXP('Speed risk factors'!$I$3-'Speed risk factors'!$I$2*'Speed risk factors'!B8))</f>
        <v>1.1269681291664888</v>
      </c>
      <c r="DF95" s="257">
        <f t="shared" si="16"/>
        <v>1.0584713753899146</v>
      </c>
      <c r="DH95" s="22"/>
      <c r="DI95"/>
    </row>
    <row r="96" spans="1:113" ht="16.05" customHeight="1" x14ac:dyDescent="0.3">
      <c r="F96" s="28">
        <v>2</v>
      </c>
      <c r="G96" s="28" t="s">
        <v>46</v>
      </c>
      <c r="H96" s="101">
        <f t="shared" si="15"/>
        <v>2</v>
      </c>
      <c r="Q96" s="74"/>
      <c r="R96" s="74"/>
      <c r="S96" s="74"/>
      <c r="T96" s="74"/>
      <c r="U96" s="74"/>
      <c r="V96" s="74"/>
      <c r="W96" s="74"/>
      <c r="X96" s="74"/>
      <c r="Y96" s="74"/>
      <c r="Z96" s="74"/>
      <c r="AA96" s="74"/>
      <c r="AB96" s="74"/>
      <c r="AC96" s="74"/>
      <c r="AD96" s="74"/>
      <c r="AE96" s="74"/>
      <c r="AF96" s="74">
        <v>13</v>
      </c>
      <c r="AG96" s="74">
        <v>13</v>
      </c>
      <c r="AH96" s="74">
        <v>13</v>
      </c>
      <c r="AI96" s="74">
        <v>13</v>
      </c>
      <c r="AJ96" s="74">
        <v>13</v>
      </c>
      <c r="AK96" s="74">
        <v>14</v>
      </c>
      <c r="AL96" s="74">
        <v>15</v>
      </c>
      <c r="AM96" s="74">
        <v>16</v>
      </c>
      <c r="AN96" s="74">
        <v>17</v>
      </c>
      <c r="AO96" s="74">
        <v>18</v>
      </c>
      <c r="AP96" s="74">
        <v>19</v>
      </c>
      <c r="AQ96" s="74">
        <v>20</v>
      </c>
      <c r="AR96" s="74">
        <v>21</v>
      </c>
      <c r="AS96" s="74">
        <v>22</v>
      </c>
      <c r="AT96" s="74">
        <v>23</v>
      </c>
      <c r="AU96" s="74">
        <v>24</v>
      </c>
      <c r="AV96" s="74">
        <v>25</v>
      </c>
      <c r="AW96" s="74">
        <v>13</v>
      </c>
      <c r="AX96" s="74">
        <v>13</v>
      </c>
      <c r="AY96" s="74">
        <v>13</v>
      </c>
      <c r="AZ96" s="74">
        <v>13</v>
      </c>
      <c r="BA96" s="74">
        <v>13</v>
      </c>
      <c r="BB96" s="74">
        <v>13</v>
      </c>
      <c r="BC96" s="74">
        <v>13</v>
      </c>
      <c r="BD96" s="74">
        <v>13</v>
      </c>
      <c r="BE96" s="74">
        <v>13</v>
      </c>
      <c r="BF96" s="74">
        <v>13</v>
      </c>
      <c r="BG96" s="74">
        <v>13</v>
      </c>
      <c r="BH96" s="74">
        <v>13</v>
      </c>
      <c r="BI96" s="74">
        <v>39</v>
      </c>
      <c r="BJ96" s="74">
        <v>40</v>
      </c>
      <c r="BK96" s="74">
        <v>41</v>
      </c>
      <c r="BL96" s="74">
        <v>42</v>
      </c>
      <c r="BM96" s="74">
        <v>43</v>
      </c>
      <c r="BN96" s="74">
        <v>44</v>
      </c>
      <c r="BO96" s="74">
        <v>45</v>
      </c>
      <c r="DC96" s="251"/>
      <c r="DD96" s="261">
        <v>7</v>
      </c>
      <c r="DE96" s="256">
        <f>1+27.82/(1+EXP('Speed risk factors'!$I$3-'Speed risk factors'!$I$2*'Speed risk factors'!B9))</f>
        <v>1.13900381771491</v>
      </c>
      <c r="DF96" s="257">
        <f t="shared" si="16"/>
        <v>1.0724163204474124</v>
      </c>
      <c r="DH96" s="22"/>
      <c r="DI96"/>
    </row>
    <row r="97" spans="1:113" ht="16.05" customHeight="1" x14ac:dyDescent="0.25">
      <c r="A97" s="99">
        <v>50</v>
      </c>
      <c r="B97" s="99" t="s">
        <v>251</v>
      </c>
      <c r="C97" s="99" t="s">
        <v>227</v>
      </c>
      <c r="D97" s="99" t="s">
        <v>52</v>
      </c>
      <c r="E97" s="99" t="s">
        <v>112</v>
      </c>
      <c r="F97" s="28">
        <v>1</v>
      </c>
      <c r="G97" s="28" t="s">
        <v>232</v>
      </c>
      <c r="H97" s="101">
        <f t="shared" si="15"/>
        <v>1</v>
      </c>
      <c r="Q97" s="74"/>
      <c r="R97" s="74"/>
      <c r="S97" s="74"/>
      <c r="T97" s="74"/>
      <c r="U97" s="74"/>
      <c r="V97" s="74"/>
      <c r="W97" s="74"/>
      <c r="X97" s="74"/>
      <c r="Y97" s="74"/>
      <c r="Z97" s="74"/>
      <c r="AA97" s="74"/>
      <c r="AB97" s="74"/>
      <c r="AC97" s="74"/>
      <c r="AD97" s="74"/>
      <c r="AE97" s="74"/>
      <c r="AF97" s="74">
        <v>14</v>
      </c>
      <c r="AG97" s="74">
        <v>14</v>
      </c>
      <c r="AH97" s="74">
        <v>14</v>
      </c>
      <c r="AI97" s="74">
        <v>14</v>
      </c>
      <c r="AJ97" s="74">
        <v>14</v>
      </c>
      <c r="AK97" s="74">
        <v>14</v>
      </c>
      <c r="AL97" s="74">
        <v>15</v>
      </c>
      <c r="AM97" s="74">
        <v>16</v>
      </c>
      <c r="AN97" s="74">
        <v>17</v>
      </c>
      <c r="AO97" s="74">
        <v>18</v>
      </c>
      <c r="AP97" s="74">
        <v>19</v>
      </c>
      <c r="AQ97" s="74">
        <v>20</v>
      </c>
      <c r="AR97" s="74">
        <v>21</v>
      </c>
      <c r="AS97" s="74">
        <v>22</v>
      </c>
      <c r="AT97" s="74">
        <v>23</v>
      </c>
      <c r="AU97" s="74">
        <v>24</v>
      </c>
      <c r="AV97" s="74">
        <v>25</v>
      </c>
      <c r="AW97" s="74">
        <v>14</v>
      </c>
      <c r="AX97" s="74">
        <v>14</v>
      </c>
      <c r="AY97" s="74">
        <v>14</v>
      </c>
      <c r="AZ97" s="74">
        <v>14</v>
      </c>
      <c r="BA97" s="74">
        <v>14</v>
      </c>
      <c r="BB97" s="74">
        <v>14</v>
      </c>
      <c r="BC97" s="74">
        <v>14</v>
      </c>
      <c r="BD97" s="74">
        <v>14</v>
      </c>
      <c r="BE97" s="74">
        <v>14</v>
      </c>
      <c r="BF97" s="74">
        <v>14</v>
      </c>
      <c r="BG97" s="74">
        <v>14</v>
      </c>
      <c r="BH97" s="74">
        <v>14</v>
      </c>
      <c r="BI97" s="74">
        <v>39</v>
      </c>
      <c r="BJ97" s="74">
        <v>40</v>
      </c>
      <c r="BK97" s="74">
        <v>41</v>
      </c>
      <c r="BL97" s="74">
        <v>42</v>
      </c>
      <c r="BM97" s="74">
        <v>43</v>
      </c>
      <c r="BN97" s="74">
        <v>44</v>
      </c>
      <c r="BO97" s="74">
        <v>45</v>
      </c>
      <c r="DD97" s="261">
        <v>8</v>
      </c>
      <c r="DE97" s="256">
        <f>1+27.82/(1+EXP('Speed risk factors'!$I$3-'Speed risk factors'!$I$2*'Speed risk factors'!B10))</f>
        <v>1.1521741358852158</v>
      </c>
      <c r="DF97" s="257">
        <f t="shared" si="16"/>
        <v>1.089676277934986</v>
      </c>
      <c r="DH97" s="22"/>
      <c r="DI97"/>
    </row>
    <row r="98" spans="1:113" ht="16.05" customHeight="1" x14ac:dyDescent="0.25">
      <c r="F98" s="28">
        <v>2</v>
      </c>
      <c r="G98" s="104" t="s">
        <v>53</v>
      </c>
      <c r="H98" s="101">
        <f t="shared" si="15"/>
        <v>2</v>
      </c>
      <c r="Q98" s="74"/>
      <c r="R98" s="74"/>
      <c r="S98" s="74"/>
      <c r="T98" s="74"/>
      <c r="U98" s="74"/>
      <c r="V98" s="74"/>
      <c r="W98" s="74"/>
      <c r="X98" s="74"/>
      <c r="Y98" s="74"/>
      <c r="Z98" s="74"/>
      <c r="AA98" s="74"/>
      <c r="AB98" s="74"/>
      <c r="AC98" s="74"/>
      <c r="AD98" s="74"/>
      <c r="AE98" s="74"/>
      <c r="AF98" s="74">
        <v>15</v>
      </c>
      <c r="AG98" s="74">
        <v>15</v>
      </c>
      <c r="AH98" s="74">
        <v>15</v>
      </c>
      <c r="AI98" s="74">
        <v>15</v>
      </c>
      <c r="AJ98" s="74">
        <v>15</v>
      </c>
      <c r="AK98" s="74">
        <v>15</v>
      </c>
      <c r="AL98" s="74">
        <v>15</v>
      </c>
      <c r="AM98" s="74">
        <v>16</v>
      </c>
      <c r="AN98" s="74">
        <v>17</v>
      </c>
      <c r="AO98" s="74">
        <v>18</v>
      </c>
      <c r="AP98" s="74">
        <v>19</v>
      </c>
      <c r="AQ98" s="74">
        <v>20</v>
      </c>
      <c r="AR98" s="74">
        <v>21</v>
      </c>
      <c r="AS98" s="74">
        <v>22</v>
      </c>
      <c r="AT98" s="74">
        <v>23</v>
      </c>
      <c r="AU98" s="74">
        <v>24</v>
      </c>
      <c r="AV98" s="74">
        <v>25</v>
      </c>
      <c r="AW98" s="74">
        <v>15</v>
      </c>
      <c r="AX98" s="74">
        <v>15</v>
      </c>
      <c r="AY98" s="74">
        <v>15</v>
      </c>
      <c r="AZ98" s="74">
        <v>15</v>
      </c>
      <c r="BA98" s="74">
        <v>15</v>
      </c>
      <c r="BB98" s="74">
        <v>15</v>
      </c>
      <c r="BC98" s="74">
        <v>15</v>
      </c>
      <c r="BD98" s="74">
        <v>15</v>
      </c>
      <c r="BE98" s="74">
        <v>15</v>
      </c>
      <c r="BF98" s="74">
        <v>15</v>
      </c>
      <c r="BG98" s="74">
        <v>15</v>
      </c>
      <c r="BH98" s="74">
        <v>15</v>
      </c>
      <c r="BI98" s="74">
        <v>15</v>
      </c>
      <c r="BJ98" s="74">
        <v>40</v>
      </c>
      <c r="BK98" s="74">
        <v>41</v>
      </c>
      <c r="BL98" s="74">
        <v>42</v>
      </c>
      <c r="BM98" s="74">
        <v>43</v>
      </c>
      <c r="BN98" s="74">
        <v>44</v>
      </c>
      <c r="BO98" s="74">
        <v>45</v>
      </c>
      <c r="DD98" s="261">
        <v>9</v>
      </c>
      <c r="DE98" s="256">
        <f>1+27.82/(1+EXP('Speed risk factors'!$I$3-'Speed risk factors'!$I$2*'Speed risk factors'!B11))</f>
        <v>1.1665848042420068</v>
      </c>
      <c r="DF98" s="257">
        <f t="shared" si="16"/>
        <v>1.1110335720712732</v>
      </c>
      <c r="DH98" s="22"/>
      <c r="DI98"/>
    </row>
    <row r="99" spans="1:113" ht="16.05" customHeight="1" x14ac:dyDescent="0.25">
      <c r="A99" s="99">
        <v>51</v>
      </c>
      <c r="B99" s="99" t="s">
        <v>252</v>
      </c>
      <c r="C99" s="99" t="s">
        <v>227</v>
      </c>
      <c r="D99" s="99" t="s">
        <v>55</v>
      </c>
      <c r="E99" s="99" t="s">
        <v>112</v>
      </c>
      <c r="F99" s="28">
        <v>1</v>
      </c>
      <c r="G99" s="28" t="s">
        <v>234</v>
      </c>
      <c r="H99" s="101">
        <f t="shared" si="15"/>
        <v>1</v>
      </c>
      <c r="Q99" s="74"/>
      <c r="R99" s="74"/>
      <c r="S99" s="74"/>
      <c r="T99" s="74"/>
      <c r="U99" s="74"/>
      <c r="V99" s="74"/>
      <c r="W99" s="74"/>
      <c r="X99" s="74"/>
      <c r="Y99" s="74"/>
      <c r="Z99" s="74"/>
      <c r="AA99" s="74"/>
      <c r="AB99" s="74"/>
      <c r="AC99" s="74"/>
      <c r="AD99" s="74"/>
      <c r="AE99" s="74"/>
      <c r="AF99" s="74">
        <v>16</v>
      </c>
      <c r="AG99" s="74">
        <v>16</v>
      </c>
      <c r="AH99" s="74">
        <v>16</v>
      </c>
      <c r="AI99" s="74">
        <v>16</v>
      </c>
      <c r="AJ99" s="74">
        <v>16</v>
      </c>
      <c r="AK99" s="74">
        <v>16</v>
      </c>
      <c r="AL99" s="74">
        <v>16</v>
      </c>
      <c r="AM99" s="74">
        <v>16</v>
      </c>
      <c r="AN99" s="74">
        <v>17</v>
      </c>
      <c r="AO99" s="74">
        <v>18</v>
      </c>
      <c r="AP99" s="74">
        <v>19</v>
      </c>
      <c r="AQ99" s="74">
        <v>20</v>
      </c>
      <c r="AR99" s="74">
        <v>21</v>
      </c>
      <c r="AS99" s="74">
        <v>22</v>
      </c>
      <c r="AT99" s="74">
        <v>23</v>
      </c>
      <c r="AU99" s="74">
        <v>24</v>
      </c>
      <c r="AV99" s="74">
        <v>25</v>
      </c>
      <c r="AW99" s="74">
        <v>16</v>
      </c>
      <c r="AX99" s="74">
        <v>16</v>
      </c>
      <c r="AY99" s="74">
        <v>16</v>
      </c>
      <c r="AZ99" s="74">
        <v>16</v>
      </c>
      <c r="BA99" s="74">
        <v>16</v>
      </c>
      <c r="BB99" s="74">
        <v>16</v>
      </c>
      <c r="BC99" s="74">
        <v>16</v>
      </c>
      <c r="BD99" s="74">
        <v>16</v>
      </c>
      <c r="BE99" s="74">
        <v>16</v>
      </c>
      <c r="BF99" s="74">
        <v>16</v>
      </c>
      <c r="BG99" s="74">
        <v>16</v>
      </c>
      <c r="BH99" s="74">
        <v>16</v>
      </c>
      <c r="BI99" s="74">
        <v>16</v>
      </c>
      <c r="BJ99" s="74">
        <v>16</v>
      </c>
      <c r="BK99" s="74">
        <v>41</v>
      </c>
      <c r="BL99" s="74">
        <v>42</v>
      </c>
      <c r="BM99" s="74">
        <v>43</v>
      </c>
      <c r="BN99" s="74">
        <v>44</v>
      </c>
      <c r="BO99" s="74">
        <v>45</v>
      </c>
      <c r="DD99" s="261">
        <v>10</v>
      </c>
      <c r="DE99" s="256">
        <f>1+27.82/(1+EXP('Speed risk factors'!$I$3-'Speed risk factors'!$I$2*'Speed risk factors'!B12))</f>
        <v>1.1823511476742019</v>
      </c>
      <c r="DF99" s="257">
        <f t="shared" si="16"/>
        <v>1.1374521051875615</v>
      </c>
      <c r="DG99" s="62">
        <f>DE99</f>
        <v>1.1823511476742019</v>
      </c>
      <c r="DH99" s="22"/>
      <c r="DI99"/>
    </row>
    <row r="100" spans="1:113" ht="16.05" customHeight="1" x14ac:dyDescent="0.25">
      <c r="F100" s="28">
        <v>2</v>
      </c>
      <c r="G100" s="104" t="s">
        <v>56</v>
      </c>
      <c r="H100" s="101">
        <f t="shared" si="15"/>
        <v>2</v>
      </c>
      <c r="Q100" s="74"/>
      <c r="R100" s="74"/>
      <c r="S100" s="74"/>
      <c r="T100" s="74"/>
      <c r="U100" s="74"/>
      <c r="V100" s="74"/>
      <c r="W100" s="74"/>
      <c r="X100" s="74"/>
      <c r="Y100" s="74"/>
      <c r="Z100" s="74"/>
      <c r="AA100" s="74"/>
      <c r="AB100" s="74"/>
      <c r="AC100" s="74"/>
      <c r="AD100" s="74"/>
      <c r="AE100" s="74"/>
      <c r="AF100" s="74">
        <v>17</v>
      </c>
      <c r="AG100" s="74">
        <v>17</v>
      </c>
      <c r="AH100" s="74">
        <v>17</v>
      </c>
      <c r="AI100" s="74">
        <v>17</v>
      </c>
      <c r="AJ100" s="74">
        <v>17</v>
      </c>
      <c r="AK100" s="74">
        <v>17</v>
      </c>
      <c r="AL100" s="74">
        <v>17</v>
      </c>
      <c r="AM100" s="74">
        <v>17</v>
      </c>
      <c r="AN100" s="74">
        <v>17</v>
      </c>
      <c r="AO100" s="74">
        <v>18</v>
      </c>
      <c r="AP100" s="74">
        <v>19</v>
      </c>
      <c r="AQ100" s="74">
        <v>20</v>
      </c>
      <c r="AR100" s="74">
        <v>21</v>
      </c>
      <c r="AS100" s="74">
        <v>22</v>
      </c>
      <c r="AT100" s="74">
        <v>23</v>
      </c>
      <c r="AU100" s="74">
        <v>24</v>
      </c>
      <c r="AV100" s="74">
        <v>25</v>
      </c>
      <c r="AW100" s="74">
        <v>17</v>
      </c>
      <c r="AX100" s="74">
        <v>17</v>
      </c>
      <c r="AY100" s="74">
        <v>17</v>
      </c>
      <c r="AZ100" s="74">
        <v>17</v>
      </c>
      <c r="BA100" s="74">
        <v>17</v>
      </c>
      <c r="BB100" s="74">
        <v>17</v>
      </c>
      <c r="BC100" s="74">
        <v>17</v>
      </c>
      <c r="BD100" s="74">
        <v>17</v>
      </c>
      <c r="BE100" s="74">
        <v>17</v>
      </c>
      <c r="BF100" s="74">
        <v>17</v>
      </c>
      <c r="BG100" s="74">
        <v>17</v>
      </c>
      <c r="BH100" s="74">
        <v>17</v>
      </c>
      <c r="BI100" s="74">
        <v>17</v>
      </c>
      <c r="BJ100" s="74">
        <v>17</v>
      </c>
      <c r="BK100" s="74">
        <v>41</v>
      </c>
      <c r="BL100" s="74">
        <v>42</v>
      </c>
      <c r="BM100" s="74">
        <v>43</v>
      </c>
      <c r="BN100" s="74">
        <v>44</v>
      </c>
      <c r="BO100" s="74">
        <v>45</v>
      </c>
      <c r="DD100" s="261">
        <v>11</v>
      </c>
      <c r="DE100" s="256">
        <f>1+27.82/(1+EXP('Speed risk factors'!$I$3-'Speed risk factors'!$I$2*'Speed risk factors'!B13))</f>
        <v>1.1995989190444591</v>
      </c>
      <c r="DF100" s="257">
        <f t="shared" si="16"/>
        <v>1.1701178833163133</v>
      </c>
      <c r="DH100" s="22"/>
      <c r="DI100"/>
    </row>
    <row r="101" spans="1:113" ht="16.05" customHeight="1" x14ac:dyDescent="0.25">
      <c r="A101" s="99">
        <v>52</v>
      </c>
      <c r="B101" s="99" t="s">
        <v>253</v>
      </c>
      <c r="C101" s="99" t="s">
        <v>227</v>
      </c>
      <c r="D101" s="99" t="s">
        <v>58</v>
      </c>
      <c r="E101" s="99" t="s">
        <v>112</v>
      </c>
      <c r="F101" s="28" t="s">
        <v>144</v>
      </c>
      <c r="G101" s="28" t="s">
        <v>165</v>
      </c>
      <c r="H101" s="101" t="str">
        <f t="shared" si="15"/>
        <v>NA</v>
      </c>
      <c r="Q101" s="74"/>
      <c r="R101" s="74"/>
      <c r="S101" s="74"/>
      <c r="T101" s="74"/>
      <c r="U101" s="74"/>
      <c r="V101" s="74"/>
      <c r="W101" s="74"/>
      <c r="X101" s="74"/>
      <c r="Y101" s="74"/>
      <c r="Z101" s="74"/>
      <c r="AA101" s="74"/>
      <c r="AB101" s="74"/>
      <c r="AC101" s="74"/>
      <c r="AD101" s="74"/>
      <c r="AE101" s="74"/>
      <c r="AF101" s="74">
        <v>18</v>
      </c>
      <c r="AG101" s="74">
        <v>18</v>
      </c>
      <c r="AH101" s="74">
        <v>18</v>
      </c>
      <c r="AI101" s="74">
        <v>18</v>
      </c>
      <c r="AJ101" s="74">
        <v>18</v>
      </c>
      <c r="AK101" s="74">
        <v>18</v>
      </c>
      <c r="AL101" s="74">
        <v>18</v>
      </c>
      <c r="AM101" s="74">
        <v>18</v>
      </c>
      <c r="AN101" s="74">
        <v>18</v>
      </c>
      <c r="AO101" s="74">
        <v>18</v>
      </c>
      <c r="AP101" s="74">
        <v>19</v>
      </c>
      <c r="AQ101" s="74">
        <v>20</v>
      </c>
      <c r="AR101" s="74">
        <v>21</v>
      </c>
      <c r="AS101" s="74">
        <v>22</v>
      </c>
      <c r="AT101" s="74">
        <v>23</v>
      </c>
      <c r="AU101" s="74">
        <v>24</v>
      </c>
      <c r="AV101" s="74">
        <v>25</v>
      </c>
      <c r="AW101" s="74">
        <v>18</v>
      </c>
      <c r="AX101" s="74">
        <v>18</v>
      </c>
      <c r="AY101" s="74">
        <v>18</v>
      </c>
      <c r="AZ101" s="74">
        <v>18</v>
      </c>
      <c r="BA101" s="74">
        <v>18</v>
      </c>
      <c r="BB101" s="74">
        <v>18</v>
      </c>
      <c r="BC101" s="74">
        <v>18</v>
      </c>
      <c r="BD101" s="74">
        <v>18</v>
      </c>
      <c r="BE101" s="74">
        <v>18</v>
      </c>
      <c r="BF101" s="74">
        <v>18</v>
      </c>
      <c r="BG101" s="74">
        <v>18</v>
      </c>
      <c r="BH101" s="74">
        <v>18</v>
      </c>
      <c r="BI101" s="74">
        <v>18</v>
      </c>
      <c r="BJ101" s="74">
        <v>18</v>
      </c>
      <c r="BK101" s="74">
        <v>18</v>
      </c>
      <c r="BL101" s="74">
        <v>42</v>
      </c>
      <c r="BM101" s="74">
        <v>43</v>
      </c>
      <c r="BN101" s="74">
        <v>44</v>
      </c>
      <c r="BO101" s="74">
        <v>45</v>
      </c>
      <c r="DD101" s="261">
        <v>12</v>
      </c>
      <c r="DE101" s="256">
        <f>1+27.82/(1+EXP('Speed risk factors'!$I$3-'Speed risk factors'!$I$2*'Speed risk factors'!B14))</f>
        <v>1.2184651836870217</v>
      </c>
      <c r="DF101" s="257">
        <f t="shared" si="16"/>
        <v>1.2104877237988254</v>
      </c>
      <c r="DH101" s="22"/>
      <c r="DI101"/>
    </row>
    <row r="102" spans="1:113" ht="16.05" customHeight="1" x14ac:dyDescent="0.25">
      <c r="A102" s="99">
        <v>53</v>
      </c>
      <c r="B102" s="99" t="s">
        <v>254</v>
      </c>
      <c r="C102" s="99" t="s">
        <v>227</v>
      </c>
      <c r="D102" s="99" t="s">
        <v>62</v>
      </c>
      <c r="E102" s="99" t="s">
        <v>112</v>
      </c>
      <c r="F102" s="28">
        <v>1</v>
      </c>
      <c r="G102" s="28" t="s">
        <v>236</v>
      </c>
      <c r="H102" s="101">
        <f t="shared" si="15"/>
        <v>1</v>
      </c>
      <c r="Q102" s="74"/>
      <c r="R102" s="74"/>
      <c r="S102" s="74"/>
      <c r="T102" s="74"/>
      <c r="U102" s="74"/>
      <c r="V102" s="74"/>
      <c r="W102" s="74"/>
      <c r="X102" s="74"/>
      <c r="Y102" s="74"/>
      <c r="Z102" s="74"/>
      <c r="AA102" s="74"/>
      <c r="AB102" s="74"/>
      <c r="AC102" s="74"/>
      <c r="AD102" s="74"/>
      <c r="AE102" s="74"/>
      <c r="AF102" s="74">
        <v>19</v>
      </c>
      <c r="AG102" s="74">
        <v>19</v>
      </c>
      <c r="AH102" s="74">
        <v>19</v>
      </c>
      <c r="AI102" s="74">
        <v>19</v>
      </c>
      <c r="AJ102" s="74">
        <v>19</v>
      </c>
      <c r="AK102" s="74">
        <v>19</v>
      </c>
      <c r="AL102" s="74">
        <v>19</v>
      </c>
      <c r="AM102" s="74">
        <v>19</v>
      </c>
      <c r="AN102" s="74">
        <v>19</v>
      </c>
      <c r="AO102" s="74">
        <v>19</v>
      </c>
      <c r="AP102" s="74">
        <v>19</v>
      </c>
      <c r="AQ102" s="74">
        <v>20</v>
      </c>
      <c r="AR102" s="74">
        <v>21</v>
      </c>
      <c r="AS102" s="74">
        <v>22</v>
      </c>
      <c r="AT102" s="74">
        <v>23</v>
      </c>
      <c r="AU102" s="74">
        <v>24</v>
      </c>
      <c r="AV102" s="74">
        <v>25</v>
      </c>
      <c r="AW102" s="74">
        <v>19</v>
      </c>
      <c r="AX102" s="74">
        <v>19</v>
      </c>
      <c r="AY102" s="74">
        <v>19</v>
      </c>
      <c r="AZ102" s="74">
        <v>19</v>
      </c>
      <c r="BA102" s="74">
        <v>19</v>
      </c>
      <c r="BB102" s="74">
        <v>19</v>
      </c>
      <c r="BC102" s="74">
        <v>19</v>
      </c>
      <c r="BD102" s="74">
        <v>19</v>
      </c>
      <c r="BE102" s="74">
        <v>19</v>
      </c>
      <c r="BF102" s="74">
        <v>19</v>
      </c>
      <c r="BG102" s="74">
        <v>19</v>
      </c>
      <c r="BH102" s="74">
        <v>19</v>
      </c>
      <c r="BI102" s="74">
        <v>19</v>
      </c>
      <c r="BJ102" s="74">
        <v>19</v>
      </c>
      <c r="BK102" s="74">
        <v>19</v>
      </c>
      <c r="BL102" s="74">
        <v>42</v>
      </c>
      <c r="BM102" s="74">
        <v>43</v>
      </c>
      <c r="BN102" s="74">
        <v>44</v>
      </c>
      <c r="BO102" s="74">
        <v>45</v>
      </c>
      <c r="DD102" s="261">
        <v>13</v>
      </c>
      <c r="DE102" s="256">
        <f>1+27.82/(1+EXP('Speed risk factors'!$I$3-'Speed risk factors'!$I$2*'Speed risk factors'!B15))</f>
        <v>1.2390992672220706</v>
      </c>
      <c r="DF102" s="257">
        <f t="shared" si="16"/>
        <v>1.2603473295027987</v>
      </c>
      <c r="DH102" s="22"/>
      <c r="DI102"/>
    </row>
    <row r="103" spans="1:113" x14ac:dyDescent="0.25">
      <c r="F103" s="28">
        <v>2</v>
      </c>
      <c r="G103" s="28" t="s">
        <v>46</v>
      </c>
      <c r="H103" s="101">
        <f t="shared" si="15"/>
        <v>2</v>
      </c>
      <c r="Q103" s="74"/>
      <c r="R103" s="74"/>
      <c r="S103" s="74"/>
      <c r="T103" s="74"/>
      <c r="U103" s="74"/>
      <c r="V103" s="74"/>
      <c r="W103" s="74"/>
      <c r="X103" s="74"/>
      <c r="Y103" s="74"/>
      <c r="Z103" s="74"/>
      <c r="AA103" s="74"/>
      <c r="AB103" s="74"/>
      <c r="AC103" s="74"/>
      <c r="AD103" s="74"/>
      <c r="AE103" s="74"/>
      <c r="AF103" s="74"/>
      <c r="AG103" s="74"/>
      <c r="AH103" s="74"/>
      <c r="AI103" s="74"/>
      <c r="AJ103" s="74"/>
      <c r="AK103" s="74"/>
      <c r="AL103" s="74"/>
      <c r="AM103" s="74"/>
      <c r="AN103" s="74"/>
      <c r="AO103" s="74"/>
      <c r="AP103" s="74"/>
      <c r="AQ103" s="74"/>
      <c r="AR103" s="74"/>
      <c r="AS103" s="74"/>
      <c r="AT103" s="74"/>
      <c r="AU103" s="74"/>
      <c r="AV103" s="74"/>
      <c r="AW103" s="74"/>
      <c r="AX103" s="74"/>
      <c r="AY103" s="74"/>
      <c r="AZ103" s="74"/>
      <c r="BA103" s="74"/>
      <c r="BB103" s="74"/>
      <c r="BC103" s="74"/>
      <c r="BD103" s="74"/>
      <c r="BE103" s="74"/>
      <c r="BF103" s="74"/>
      <c r="BG103" s="74"/>
      <c r="BH103" s="74"/>
      <c r="BI103" s="74"/>
      <c r="BJ103" s="74"/>
      <c r="BK103" s="74"/>
      <c r="BL103" s="74"/>
      <c r="BM103" s="74"/>
      <c r="BN103" s="74"/>
      <c r="BO103" s="74"/>
      <c r="DD103" s="261">
        <v>14</v>
      </c>
      <c r="DE103" s="256">
        <f>1+27.82/(1+EXP('Speed risk factors'!$I$3-'Speed risk factors'!$I$2*'Speed risk factors'!B16))</f>
        <v>1.2616637687825043</v>
      </c>
      <c r="DF103" s="257">
        <f t="shared" si="16"/>
        <v>1.3218798154453282</v>
      </c>
      <c r="DH103" s="22"/>
      <c r="DI103"/>
    </row>
    <row r="104" spans="1:113" x14ac:dyDescent="0.25">
      <c r="A104" s="99">
        <v>54</v>
      </c>
      <c r="B104" s="99" t="s">
        <v>88</v>
      </c>
      <c r="C104" s="99" t="s">
        <v>227</v>
      </c>
      <c r="D104" s="99" t="s">
        <v>64</v>
      </c>
      <c r="E104" s="99" t="s">
        <v>255</v>
      </c>
      <c r="F104" s="28" t="s">
        <v>144</v>
      </c>
      <c r="G104" s="28" t="s">
        <v>165</v>
      </c>
      <c r="H104" s="101" t="str">
        <f t="shared" si="15"/>
        <v>NA</v>
      </c>
      <c r="Q104" s="74"/>
      <c r="R104" s="74"/>
      <c r="S104" s="74"/>
      <c r="T104" s="74"/>
      <c r="U104" s="74"/>
      <c r="V104" s="74"/>
      <c r="W104" s="74"/>
      <c r="X104" s="74"/>
      <c r="Y104" s="74"/>
      <c r="Z104" s="74"/>
      <c r="AA104" s="74"/>
      <c r="AB104" s="74"/>
      <c r="AC104" s="74"/>
      <c r="AD104" s="74"/>
      <c r="AE104" s="74"/>
      <c r="AF104" s="74"/>
      <c r="AG104" s="74"/>
      <c r="AH104" s="74"/>
      <c r="AI104" s="74"/>
      <c r="AJ104" s="74"/>
      <c r="AK104" s="74"/>
      <c r="AL104" s="74"/>
      <c r="AM104" s="74"/>
      <c r="AN104" s="74"/>
      <c r="AO104" s="74"/>
      <c r="AP104" s="74"/>
      <c r="AQ104" s="74"/>
      <c r="AR104" s="74"/>
      <c r="AS104" s="74"/>
      <c r="AT104" s="74"/>
      <c r="AU104" s="74"/>
      <c r="AV104" s="74"/>
      <c r="AW104" s="74"/>
      <c r="AX104" s="74"/>
      <c r="AY104" s="74"/>
      <c r="AZ104" s="74"/>
      <c r="BA104" s="74"/>
      <c r="BB104" s="74"/>
      <c r="BC104" s="74"/>
      <c r="BD104" s="74"/>
      <c r="BE104" s="74"/>
      <c r="BF104" s="74"/>
      <c r="BG104" s="74"/>
      <c r="BH104" s="74"/>
      <c r="BI104" s="74"/>
      <c r="BJ104" s="74"/>
      <c r="BK104" s="74"/>
      <c r="BL104" s="74"/>
      <c r="BM104" s="74"/>
      <c r="BN104" s="74"/>
      <c r="BO104" s="74"/>
      <c r="DD104" s="261">
        <v>15</v>
      </c>
      <c r="DE104" s="256">
        <f>1+27.82/(1+EXP('Speed risk factors'!$I$3-'Speed risk factors'!$I$2*'Speed risk factors'!B17))</f>
        <v>1.2863356412373741</v>
      </c>
      <c r="DF104" s="257">
        <f t="shared" si="16"/>
        <v>1.3977454735078887</v>
      </c>
      <c r="DG104" s="62">
        <f>DE104</f>
        <v>1.2863356412373741</v>
      </c>
      <c r="DH104" s="22"/>
      <c r="DI104"/>
    </row>
    <row r="105" spans="1:113" x14ac:dyDescent="0.25">
      <c r="A105" s="99">
        <v>55</v>
      </c>
      <c r="B105" s="99" t="s">
        <v>256</v>
      </c>
      <c r="C105" s="99" t="s">
        <v>227</v>
      </c>
      <c r="D105" s="99" t="s">
        <v>67</v>
      </c>
      <c r="E105" s="99" t="s">
        <v>255</v>
      </c>
      <c r="F105" s="28" t="s">
        <v>144</v>
      </c>
      <c r="G105" s="28" t="s">
        <v>165</v>
      </c>
      <c r="K105" s="26"/>
      <c r="L105" s="26"/>
      <c r="M105" s="26"/>
      <c r="N105" s="26"/>
      <c r="O105" s="26"/>
      <c r="P105" s="26"/>
      <c r="BH105" s="9"/>
      <c r="BP105"/>
      <c r="CW105" s="88"/>
      <c r="DD105" s="261">
        <v>16</v>
      </c>
      <c r="DE105" s="256">
        <f>1+27.82/(1+EXP('Speed risk factors'!$I$3-'Speed risk factors'!$I$2*'Speed risk factors'!B18))</f>
        <v>1.3133073393159136</v>
      </c>
      <c r="DF105" s="257">
        <f t="shared" si="16"/>
        <v>1.491172938778953</v>
      </c>
      <c r="DH105" s="22"/>
      <c r="DI105"/>
    </row>
    <row r="106" spans="1:113" ht="14.4" x14ac:dyDescent="0.3">
      <c r="A106" s="99">
        <v>56</v>
      </c>
      <c r="B106" s="99" t="s">
        <v>257</v>
      </c>
      <c r="C106" s="99" t="s">
        <v>227</v>
      </c>
      <c r="D106" s="99" t="s">
        <v>69</v>
      </c>
      <c r="E106" s="99" t="s">
        <v>112</v>
      </c>
      <c r="F106" s="28">
        <v>1</v>
      </c>
      <c r="G106" s="28" t="s">
        <v>258</v>
      </c>
      <c r="H106" s="101">
        <f t="shared" ref="H106:H107" si="17">F106</f>
        <v>1</v>
      </c>
      <c r="K106" s="66"/>
      <c r="L106" s="66"/>
      <c r="M106" s="26"/>
      <c r="N106" s="26"/>
      <c r="O106" s="26"/>
      <c r="P106" s="26"/>
      <c r="BH106" s="9"/>
      <c r="BP106"/>
      <c r="CW106" s="88"/>
      <c r="DD106" s="261">
        <v>17</v>
      </c>
      <c r="DE106" s="256">
        <f>1+27.82/(1+EXP('Speed risk factors'!$I$3-'Speed risk factors'!$I$2*'Speed risk factors'!B19))</f>
        <v>1.3427880356537472</v>
      </c>
      <c r="DF106" s="257">
        <f t="shared" si="16"/>
        <v>1.6060608065774726</v>
      </c>
      <c r="DH106" s="22"/>
      <c r="DI106"/>
    </row>
    <row r="107" spans="1:113" ht="14.4" x14ac:dyDescent="0.3">
      <c r="F107" s="28">
        <v>2</v>
      </c>
      <c r="G107" s="28" t="s">
        <v>70</v>
      </c>
      <c r="H107" s="101">
        <f t="shared" si="17"/>
        <v>2</v>
      </c>
      <c r="K107" s="66"/>
      <c r="L107" s="66"/>
      <c r="DD107" s="261">
        <v>18</v>
      </c>
      <c r="DE107" s="256">
        <f>1+27.82/(1+EXP('Speed risk factors'!$I$3-'Speed risk factors'!$I$2*'Speed risk factors'!B20))</f>
        <v>1.3750049036600511</v>
      </c>
      <c r="DF107" s="257">
        <f t="shared" si="16"/>
        <v>1.7470869132982823</v>
      </c>
      <c r="DH107" s="22"/>
      <c r="DI107"/>
    </row>
    <row r="108" spans="1:113" x14ac:dyDescent="0.25">
      <c r="DD108" s="261">
        <v>19</v>
      </c>
      <c r="DE108" s="256">
        <f>1+27.82/(1+EXP('Speed risk factors'!$I$3-'Speed risk factors'!$I$2*'Speed risk factors'!B21))</f>
        <v>1.4102044646976752</v>
      </c>
      <c r="DF108" s="257">
        <f t="shared" si="16"/>
        <v>1.9198196479818772</v>
      </c>
      <c r="DH108" s="22"/>
      <c r="DI108"/>
    </row>
    <row r="109" spans="1:113" x14ac:dyDescent="0.25">
      <c r="DD109" s="261">
        <v>20</v>
      </c>
      <c r="DE109" s="256">
        <f>1+27.82/(1+EXP('Speed risk factors'!$I$3-'Speed risk factors'!$I$2*'Speed risk factors'!B22))</f>
        <v>1.4486539953286679</v>
      </c>
      <c r="DF109" s="257">
        <f t="shared" si="16"/>
        <v>2.1308214755690544</v>
      </c>
      <c r="DG109" s="62">
        <f>DE109</f>
        <v>1.4486539953286679</v>
      </c>
      <c r="DH109" s="22"/>
      <c r="DI109"/>
    </row>
    <row r="110" spans="1:113" x14ac:dyDescent="0.25">
      <c r="DD110" s="261">
        <v>21</v>
      </c>
      <c r="DE110" s="256">
        <f>1+27.82/(1+EXP('Speed risk factors'!$I$3-'Speed risk factors'!$I$2*'Speed risk factors'!B23))</f>
        <v>1.4906429882510852</v>
      </c>
      <c r="DF110" s="257">
        <f t="shared" si="16"/>
        <v>2.3877290174371293</v>
      </c>
      <c r="DH110" s="22"/>
      <c r="DI110"/>
    </row>
    <row r="111" spans="1:113" x14ac:dyDescent="0.25">
      <c r="DD111" s="261">
        <v>22</v>
      </c>
      <c r="DE111" s="256">
        <f>1+27.82/(1+EXP('Speed risk factors'!$I$3-'Speed risk factors'!$I$2*'Speed risk factors'!B24))</f>
        <v>1.5364846579802132</v>
      </c>
      <c r="DF111" s="257">
        <f t="shared" si="16"/>
        <v>2.6992863917447338</v>
      </c>
      <c r="DH111" s="22"/>
      <c r="DI111"/>
    </row>
    <row r="112" spans="1:113" x14ac:dyDescent="0.25">
      <c r="DD112" s="261">
        <v>23</v>
      </c>
      <c r="DE112" s="256">
        <f>1+27.82/(1+EXP('Speed risk factors'!$I$3-'Speed risk factors'!$I$2*'Speed risk factors'!B25))</f>
        <v>1.5865174792447512</v>
      </c>
      <c r="DF112" s="257">
        <f t="shared" si="16"/>
        <v>3.0752993005134948</v>
      </c>
      <c r="DH112" s="22"/>
      <c r="DI112"/>
    </row>
    <row r="113" spans="108:113" x14ac:dyDescent="0.25">
      <c r="DD113" s="261">
        <v>24</v>
      </c>
      <c r="DE113" s="256">
        <f>1+27.82/(1+EXP('Speed risk factors'!$I$3-'Speed risk factors'!$I$2*'Speed risk factors'!B26))</f>
        <v>1.6411067424093222</v>
      </c>
      <c r="DF113" s="257">
        <f t="shared" si="16"/>
        <v>3.5264675756666941</v>
      </c>
      <c r="DH113" s="22"/>
      <c r="DI113"/>
    </row>
    <row r="114" spans="108:113" x14ac:dyDescent="0.25">
      <c r="DD114" s="261">
        <v>25</v>
      </c>
      <c r="DE114" s="256">
        <f>1+27.82/(1+EXP('Speed risk factors'!$I$3-'Speed risk factors'!$I$2*'Speed risk factors'!B27))</f>
        <v>1.7006461059307625</v>
      </c>
      <c r="DF114" s="257">
        <f t="shared" si="16"/>
        <v>4.0640458716313974</v>
      </c>
      <c r="DG114" s="62">
        <f>DE114</f>
        <v>1.7006461059307625</v>
      </c>
      <c r="DH114" s="22"/>
      <c r="DI114"/>
    </row>
    <row r="115" spans="108:113" x14ac:dyDescent="0.25">
      <c r="DD115" s="261">
        <v>26</v>
      </c>
      <c r="DE115" s="256">
        <f>1+27.82/(1+EXP('Speed risk factors'!$I$3-'Speed risk factors'!$I$2*'Speed risk factors'!B28))</f>
        <v>1.7655591208403716</v>
      </c>
      <c r="DF115" s="257">
        <f t="shared" si="16"/>
        <v>4.6992800504204215</v>
      </c>
      <c r="DH115" s="22"/>
      <c r="DI115"/>
    </row>
    <row r="116" spans="108:113" x14ac:dyDescent="0.25">
      <c r="DD116" s="261">
        <v>27</v>
      </c>
      <c r="DE116" s="256">
        <f>1+27.82/(1+EXP('Speed risk factors'!$I$3-'Speed risk factors'!$I$2*'Speed risk factors'!B29))</f>
        <v>1.8363006964563493</v>
      </c>
      <c r="DF116" s="257">
        <f t="shared" si="16"/>
        <v>5.4425767067139486</v>
      </c>
      <c r="DH116" s="22"/>
      <c r="DI116"/>
    </row>
    <row r="117" spans="108:113" x14ac:dyDescent="0.25">
      <c r="DD117" s="261">
        <v>28</v>
      </c>
      <c r="DE117" s="256">
        <f>1+27.82/(1+EXP('Speed risk factors'!$I$3-'Speed risk factors'!$I$2*'Speed risk factors'!B30))</f>
        <v>1.9133584699194381</v>
      </c>
      <c r="DF117" s="257">
        <f t="shared" si="16"/>
        <v>6.3023926715581799</v>
      </c>
      <c r="DH117" s="22"/>
      <c r="DI117"/>
    </row>
    <row r="118" spans="108:113" x14ac:dyDescent="0.25">
      <c r="DD118" s="261">
        <v>29</v>
      </c>
      <c r="DE118" s="256">
        <f>1+27.82/(1+EXP('Speed risk factors'!$I$3-'Speed risk factors'!$I$2*'Speed risk factors'!B31))</f>
        <v>1.9972540346773253</v>
      </c>
      <c r="DF118" s="257">
        <f t="shared" si="16"/>
        <v>7.2838864412730544</v>
      </c>
      <c r="DH118" s="22"/>
      <c r="DI118"/>
    </row>
    <row r="119" spans="108:113" x14ac:dyDescent="0.25">
      <c r="DD119" s="261">
        <v>30</v>
      </c>
      <c r="DE119" s="256">
        <f>1+27.82/(1+EXP('Speed risk factors'!$I$3-'Speed risk factors'!$I$2*'Speed risk factors'!B32))</f>
        <v>2.0885439747132932</v>
      </c>
      <c r="DF119" s="257">
        <f t="shared" si="16"/>
        <v>8.3874545216452923</v>
      </c>
      <c r="DG119" s="62">
        <f>DE119</f>
        <v>2.0885439747132932</v>
      </c>
      <c r="DH119" s="22"/>
      <c r="DI119"/>
    </row>
    <row r="120" spans="108:113" x14ac:dyDescent="0.25">
      <c r="DD120" s="261">
        <v>31</v>
      </c>
      <c r="DE120" s="256">
        <f>1+27.82/(1+EXP('Speed risk factors'!$I$3-'Speed risk factors'!$I$2*'Speed risk factors'!B33))</f>
        <v>2.1878206421534934</v>
      </c>
      <c r="DF120" s="257">
        <f t="shared" si="16"/>
        <v>9.6073705964574199</v>
      </c>
      <c r="DH120" s="22"/>
      <c r="DI120"/>
    </row>
    <row r="121" spans="108:113" x14ac:dyDescent="0.25">
      <c r="DD121" s="261">
        <v>32</v>
      </c>
      <c r="DE121" s="256">
        <f>1+27.82/(1+EXP('Speed risk factors'!$I$3-'Speed risk factors'!$I$2*'Speed risk factors'!B34))</f>
        <v>2.2957126059780268</v>
      </c>
      <c r="DF121" s="257">
        <f t="shared" si="16"/>
        <v>10.930825452706557</v>
      </c>
      <c r="DH121" s="22"/>
      <c r="DI121"/>
    </row>
    <row r="122" spans="108:113" x14ac:dyDescent="0.25">
      <c r="DD122" s="261">
        <v>33</v>
      </c>
      <c r="DE122" s="256">
        <f>1+27.82/(1+EXP('Speed risk factors'!$I$3-'Speed risk factors'!$I$2*'Speed risk factors'!B35))</f>
        <v>2.4128846890547955</v>
      </c>
      <c r="DF122" s="257">
        <f t="shared" si="16"/>
        <v>12.33768841579788</v>
      </c>
      <c r="DH122" s="22"/>
      <c r="DI122"/>
    </row>
    <row r="123" spans="108:113" x14ac:dyDescent="0.25">
      <c r="DD123" s="261">
        <v>34</v>
      </c>
      <c r="DE123" s="256">
        <f>1+27.82/(1+EXP('Speed risk factors'!$I$3-'Speed risk factors'!$I$2*'Speed risk factors'!B36))</f>
        <v>2.5400374998491917</v>
      </c>
      <c r="DF123" s="257">
        <f t="shared" ref="DF123:DF154" si="18">1+27.82/(1+EXP(7.44925-0.13322*((DD123*1.609344))))</f>
        <v>13.80123658760283</v>
      </c>
      <c r="DH123" s="22"/>
      <c r="DI123"/>
    </row>
    <row r="124" spans="108:113" x14ac:dyDescent="0.25">
      <c r="DD124" s="261">
        <v>35</v>
      </c>
      <c r="DE124" s="256">
        <f>1+27.82/(1+EXP('Speed risk factors'!$I$3-'Speed risk factors'!$I$2*'Speed risk factors'!B37))</f>
        <v>2.6779063542822739</v>
      </c>
      <c r="DF124" s="257">
        <f t="shared" si="18"/>
        <v>15.289914649659737</v>
      </c>
      <c r="DG124" s="62">
        <f>DE124</f>
        <v>2.6779063542822739</v>
      </c>
      <c r="DH124" s="22"/>
      <c r="DI124"/>
    </row>
    <row r="125" spans="108:113" x14ac:dyDescent="0.25">
      <c r="DD125" s="261">
        <v>36</v>
      </c>
      <c r="DE125" s="256">
        <f>1+27.82/(1+EXP('Speed risk factors'!$I$3-'Speed risk factors'!$I$2*'Speed risk factors'!B38))</f>
        <v>2.8272594727895157</v>
      </c>
      <c r="DF125" s="257">
        <f t="shared" si="18"/>
        <v>16.769933984805888</v>
      </c>
      <c r="DH125" s="22"/>
      <c r="DI125"/>
    </row>
    <row r="126" spans="108:113" x14ac:dyDescent="0.25">
      <c r="DD126" s="261">
        <v>37</v>
      </c>
      <c r="DE126" s="256">
        <f>1+27.82/(1+EXP('Speed risk factors'!$I$3-'Speed risk factors'!$I$2*'Speed risk factors'!B39))</f>
        <v>2.98889532829772</v>
      </c>
      <c r="DF126" s="257">
        <f t="shared" si="18"/>
        <v>18.208281782302606</v>
      </c>
      <c r="DH126" s="22"/>
      <c r="DI126"/>
    </row>
    <row r="127" spans="108:113" x14ac:dyDescent="0.25">
      <c r="DD127" s="261">
        <v>38</v>
      </c>
      <c r="DE127" s="256">
        <f>1+27.82/(1+EXP('Speed risk factors'!$I$3-'Speed risk factors'!$I$2*'Speed risk factors'!B40))</f>
        <v>3.1636390133865429</v>
      </c>
      <c r="DF127" s="257">
        <f t="shared" si="18"/>
        <v>19.575586192403488</v>
      </c>
      <c r="DH127" s="22"/>
      <c r="DI127"/>
    </row>
    <row r="128" spans="108:113" x14ac:dyDescent="0.25">
      <c r="DD128" s="261">
        <v>39</v>
      </c>
      <c r="DE128" s="256">
        <f>1+27.82/(1+EXP('Speed risk factors'!$I$3-'Speed risk factors'!$I$2*'Speed risk factors'!B41))</f>
        <v>3.3523374903161289</v>
      </c>
      <c r="DF128" s="257">
        <f t="shared" si="18"/>
        <v>20.848327915670314</v>
      </c>
      <c r="DH128" s="22"/>
      <c r="DI128"/>
    </row>
    <row r="129" spans="108:113" x14ac:dyDescent="0.25">
      <c r="DD129" s="261">
        <v>40</v>
      </c>
      <c r="DE129" s="256">
        <f>1+27.82/(1+EXP('Speed risk factors'!$I$3-'Speed risk factors'!$I$2*'Speed risk factors'!B42))</f>
        <v>3.5558535870572587</v>
      </c>
      <c r="DF129" s="257">
        <f t="shared" si="18"/>
        <v>22.010081837586842</v>
      </c>
      <c r="DG129" s="62">
        <f>DE129</f>
        <v>3.5558535870572587</v>
      </c>
      <c r="DH129" s="22"/>
      <c r="DI129"/>
    </row>
    <row r="130" spans="108:113" x14ac:dyDescent="0.25">
      <c r="DD130" s="261">
        <v>41</v>
      </c>
      <c r="DE130" s="256">
        <f>1+27.82/(1+EXP('Speed risk factors'!$I$3-'Speed risk factors'!$I$2*'Speed risk factors'!B43))</f>
        <v>3.7750586073096404</v>
      </c>
      <c r="DF130" s="257">
        <f t="shared" si="18"/>
        <v>23.051731220282505</v>
      </c>
      <c r="DH130" s="22"/>
      <c r="DI130"/>
    </row>
    <row r="131" spans="108:113" x14ac:dyDescent="0.25">
      <c r="DD131" s="261">
        <v>42</v>
      </c>
      <c r="DE131" s="256">
        <f>1+27.82/(1+EXP('Speed risk factors'!$I$3-'Speed risk factors'!$I$2*'Speed risk factors'!B44))</f>
        <v>4.0108234342432594</v>
      </c>
      <c r="DF131" s="257">
        <f t="shared" si="18"/>
        <v>23.970823308250743</v>
      </c>
      <c r="DH131" s="22"/>
      <c r="DI131"/>
    </row>
    <row r="132" spans="108:113" x14ac:dyDescent="0.25">
      <c r="DD132" s="261">
        <v>43</v>
      </c>
      <c r="DE132" s="256">
        <f>1+27.82/(1+EXP('Speed risk factors'!$I$3-'Speed risk factors'!$I$2*'Speed risk factors'!B45))</f>
        <v>4.264008027946204</v>
      </c>
      <c r="DF132" s="257">
        <f t="shared" si="18"/>
        <v>24.770364470929501</v>
      </c>
      <c r="DH132" s="22"/>
      <c r="DI132"/>
    </row>
    <row r="133" spans="108:113" x14ac:dyDescent="0.25">
      <c r="DD133" s="261">
        <v>44</v>
      </c>
      <c r="DE133" s="256">
        <f>1+27.82/(1+EXP('Speed risk factors'!$I$3-'Speed risk factors'!$I$2*'Speed risk factors'!B46))</f>
        <v>4.5354492469116252</v>
      </c>
      <c r="DF133" s="257">
        <f t="shared" si="18"/>
        <v>25.457373966661969</v>
      </c>
      <c r="DH133" s="22"/>
      <c r="DI133"/>
    </row>
    <row r="134" spans="108:113" x14ac:dyDescent="0.25">
      <c r="DD134" s="261">
        <v>45</v>
      </c>
      <c r="DE134" s="256">
        <f>1+27.82/(1+EXP('Speed risk factors'!$I$3-'Speed risk factors'!$I$2*'Speed risk factors'!B47))</f>
        <v>4.825946965818523</v>
      </c>
      <c r="DF134" s="257">
        <f t="shared" si="18"/>
        <v>26.041457759699654</v>
      </c>
      <c r="DG134" s="62">
        <f>DE134</f>
        <v>4.825946965818523</v>
      </c>
      <c r="DH134" s="22"/>
      <c r="DI134"/>
    </row>
    <row r="135" spans="108:113" x14ac:dyDescent="0.25">
      <c r="DD135" s="261">
        <v>46</v>
      </c>
      <c r="DE135" s="256">
        <f>1+27.82/(1+EXP('Speed risk factors'!$I$3-'Speed risk factors'!$I$2*'Speed risk factors'!B48))</f>
        <v>5.1362485165243035</v>
      </c>
      <c r="DF135" s="257">
        <f t="shared" si="18"/>
        <v>26.533571564414132</v>
      </c>
      <c r="DH135" s="22"/>
      <c r="DI135"/>
    </row>
    <row r="136" spans="108:113" x14ac:dyDescent="0.25">
      <c r="DD136" s="261">
        <v>47</v>
      </c>
      <c r="DE136" s="256">
        <f>1+27.82/(1+EXP('Speed risk factors'!$I$3-'Speed risk factors'!$I$2*'Speed risk factors'!B49))</f>
        <v>5.4670315472387889</v>
      </c>
      <c r="DF136" s="257">
        <f t="shared" si="18"/>
        <v>26.945051946855326</v>
      </c>
      <c r="DH136" s="22"/>
      <c r="DI136"/>
    </row>
    <row r="137" spans="108:113" x14ac:dyDescent="0.25">
      <c r="DD137" s="261">
        <v>48</v>
      </c>
      <c r="DE137" s="256">
        <f>1+27.82/(1+EXP('Speed risk factors'!$I$3-'Speed risk factors'!$I$2*'Speed risk factors'!B50))</f>
        <v>5.8188854761634676</v>
      </c>
      <c r="DF137" s="257">
        <f t="shared" si="18"/>
        <v>27.286925903539345</v>
      </c>
      <c r="DH137" s="22"/>
      <c r="DI137"/>
    </row>
    <row r="138" spans="108:113" x14ac:dyDescent="0.25">
      <c r="DD138" s="261">
        <v>49</v>
      </c>
      <c r="DE138" s="256">
        <f>1+27.82/(1+EXP('Speed risk factors'!$I$3-'Speed risk factors'!$I$2*'Speed risk factors'!B51))</f>
        <v>6.1922918092850381</v>
      </c>
      <c r="DF138" s="257">
        <f t="shared" si="18"/>
        <v>27.569467880690826</v>
      </c>
      <c r="DH138" s="22"/>
      <c r="DI138"/>
    </row>
    <row r="139" spans="108:113" x14ac:dyDescent="0.25">
      <c r="DD139" s="261">
        <v>50</v>
      </c>
      <c r="DE139" s="256">
        <f>1+27.82/(1+EXP('Speed risk factors'!$I$3-'Speed risk factors'!$I$2*'Speed risk factors'!B52))</f>
        <v>6.5876036950276458</v>
      </c>
      <c r="DF139" s="257">
        <f t="shared" si="18"/>
        <v>27.801954679140273</v>
      </c>
      <c r="DG139" s="62">
        <f>DE139</f>
        <v>6.5876036950276458</v>
      </c>
      <c r="DH139" s="22"/>
      <c r="DI139"/>
    </row>
    <row r="140" spans="108:113" x14ac:dyDescent="0.25">
      <c r="DD140" s="261">
        <v>51</v>
      </c>
      <c r="DE140" s="256">
        <f>1+27.82/(1+EXP('Speed risk factors'!$I$3-'Speed risk factors'!$I$2*'Speed risk factors'!B53))</f>
        <v>7.0050251970823556</v>
      </c>
      <c r="DF140" s="257">
        <f t="shared" si="18"/>
        <v>27.992565810292838</v>
      </c>
      <c r="DH140" s="22"/>
      <c r="DI140"/>
    </row>
    <row r="141" spans="108:113" x14ac:dyDescent="0.25">
      <c r="DD141" s="261">
        <v>52</v>
      </c>
      <c r="DE141" s="256">
        <f>1+27.82/(1+EXP('Speed risk factors'!$I$3-'Speed risk factors'!$I$2*'Speed risk factors'!B54))</f>
        <v>7.4445908752758525</v>
      </c>
      <c r="DF141" s="257">
        <f t="shared" si="18"/>
        <v>28.148382653522201</v>
      </c>
      <c r="DH141" s="22"/>
      <c r="DI141"/>
    </row>
    <row r="142" spans="108:113" x14ac:dyDescent="0.25">
      <c r="DD142" s="261">
        <v>53</v>
      </c>
      <c r="DE142" s="256">
        <f>1+27.82/(1+EXP('Speed risk factors'!$I$3-'Speed risk factors'!$I$2*'Speed risk factors'!B55))</f>
        <v>7.9061463655047088</v>
      </c>
      <c r="DF142" s="257">
        <f t="shared" si="18"/>
        <v>28.275449072828934</v>
      </c>
      <c r="DH142" s="22"/>
      <c r="DI142"/>
    </row>
    <row r="143" spans="108:113" x14ac:dyDescent="0.25">
      <c r="DD143" s="261">
        <v>54</v>
      </c>
      <c r="DE143" s="256">
        <f>1+27.82/(1+EXP('Speed risk factors'!$I$3-'Speed risk factors'!$I$2*'Speed risk factors'!B56))</f>
        <v>8.3893307348176034</v>
      </c>
      <c r="DF143" s="257">
        <f t="shared" si="18"/>
        <v>28.378865834156947</v>
      </c>
      <c r="DH143" s="22"/>
      <c r="DI143"/>
    </row>
    <row r="144" spans="108:113" x14ac:dyDescent="0.25">
      <c r="DD144" s="261">
        <v>55</v>
      </c>
      <c r="DE144" s="256">
        <f>1+27.82/(1+EXP('Speed risk factors'!$I$3-'Speed risk factors'!$I$2*'Speed risk factors'!B57))</f>
        <v>8.8935614469914785</v>
      </c>
      <c r="DF144" s="257">
        <f t="shared" si="18"/>
        <v>28.462899645755304</v>
      </c>
      <c r="DG144" s="62">
        <f>DE144</f>
        <v>8.8935614469914785</v>
      </c>
      <c r="DH144" s="22"/>
      <c r="DI144"/>
    </row>
    <row r="145" spans="108:113" x14ac:dyDescent="0.25">
      <c r="DD145" s="261">
        <v>56</v>
      </c>
      <c r="DE145" s="256">
        <f>1+27.82/(1+EXP('Speed risk factors'!$I$3-'Speed risk factors'!$I$2*'Speed risk factors'!B58))</f>
        <v>9.4180227975065556</v>
      </c>
      <c r="DF145" s="257">
        <f t="shared" si="18"/>
        <v>28.531094363087021</v>
      </c>
      <c r="DH145" s="22"/>
      <c r="DI145"/>
    </row>
    <row r="146" spans="108:113" x14ac:dyDescent="0.25">
      <c r="DD146" s="261">
        <v>57</v>
      </c>
      <c r="DE146" s="256">
        <f>1+27.82/(1+EXP('Speed risk factors'!$I$3-'Speed risk factors'!$I$2*'Speed risk factors'!B59))</f>
        <v>9.961658655519356</v>
      </c>
      <c r="DF146" s="257">
        <f t="shared" si="18"/>
        <v>28.586376860974763</v>
      </c>
      <c r="DH146" s="22"/>
      <c r="DI146"/>
    </row>
    <row r="147" spans="108:113" x14ac:dyDescent="0.25">
      <c r="DD147" s="261">
        <v>58</v>
      </c>
      <c r="DE147" s="256">
        <f>1+27.82/(1+EXP('Speed risk factors'!$I$3-'Speed risk factors'!$I$2*'Speed risk factors'!B60))</f>
        <v>10.52317027701568</v>
      </c>
      <c r="DF147" s="257">
        <f t="shared" si="18"/>
        <v>28.631153536772665</v>
      </c>
      <c r="DH147" s="22"/>
      <c r="DI147"/>
    </row>
    <row r="148" spans="108:113" x14ac:dyDescent="0.25">
      <c r="DD148" s="261">
        <v>59</v>
      </c>
      <c r="DE148" s="256">
        <f>1+27.82/(1+EXP('Speed risk factors'!$I$3-'Speed risk factors'!$I$2*'Speed risk factors'!B61))</f>
        <v>11.101019823698868</v>
      </c>
      <c r="DF148" s="257">
        <f t="shared" si="18"/>
        <v>28.667395700220254</v>
      </c>
      <c r="DH148" s="22"/>
      <c r="DI148"/>
    </row>
    <row r="149" spans="108:113" x14ac:dyDescent="0.25">
      <c r="DD149" s="261">
        <v>60</v>
      </c>
      <c r="DE149" s="256">
        <f>1+27.82/(1+EXP('Speed risk factors'!$I$3-'Speed risk factors'!$I$2*'Speed risk factors'!B62))</f>
        <v>11.693440036517211</v>
      </c>
      <c r="DF149" s="257">
        <f t="shared" si="18"/>
        <v>28.696713541363152</v>
      </c>
      <c r="DG149" s="62">
        <f>DE149</f>
        <v>11.693440036517211</v>
      </c>
      <c r="DH149" s="22"/>
      <c r="DI149"/>
    </row>
    <row r="150" spans="108:113" x14ac:dyDescent="0.25">
      <c r="DD150" s="261">
        <v>61</v>
      </c>
      <c r="DE150" s="256">
        <f>1+27.82/(1+EXP('Speed risk factors'!$I$3-'Speed risk factors'!$I$2*'Speed risk factors'!B63))</f>
        <v>12.298450276372151</v>
      </c>
      <c r="DF150" s="257">
        <f t="shared" si="18"/>
        <v>28.720419206703482</v>
      </c>
      <c r="DH150" s="22"/>
      <c r="DI150"/>
    </row>
    <row r="151" spans="108:113" x14ac:dyDescent="0.25">
      <c r="DD151" s="261">
        <v>62</v>
      </c>
      <c r="DE151" s="256">
        <f>1+27.82/(1+EXP('Speed risk factors'!$I$3-'Speed risk factors'!$I$2*'Speed risk factors'!B64))</f>
        <v>12.9138788682752</v>
      </c>
      <c r="DF151" s="257">
        <f t="shared" si="18"/>
        <v>28.739579953849347</v>
      </c>
      <c r="DH151" s="22"/>
      <c r="DI151"/>
    </row>
    <row r="152" spans="108:113" x14ac:dyDescent="0.25">
      <c r="DD152" s="261">
        <v>63</v>
      </c>
      <c r="DE152" s="256">
        <f>1+27.82/(1+EXP('Speed risk factors'!$I$3-'Speed risk factors'!$I$2*'Speed risk factors'!B65))</f>
        <v>13.537391385027741</v>
      </c>
      <c r="DF152" s="257">
        <f t="shared" si="18"/>
        <v>28.755062540020273</v>
      </c>
      <c r="DH152" s="22"/>
      <c r="DI152"/>
    </row>
    <row r="153" spans="108:113" x14ac:dyDescent="0.25">
      <c r="DD153" s="261">
        <v>64</v>
      </c>
      <c r="DE153" s="256">
        <f>1+27.82/(1+EXP('Speed risk factors'!$I$3-'Speed risk factors'!$I$2*'Speed risk factors'!B66))</f>
        <v>14.166524202550482</v>
      </c>
      <c r="DF153" s="257">
        <f t="shared" si="18"/>
        <v>28.767570029626434</v>
      </c>
      <c r="DH153" s="22"/>
      <c r="DI153"/>
    </row>
    <row r="154" spans="108:113" x14ac:dyDescent="0.25">
      <c r="DD154" s="261">
        <v>65</v>
      </c>
      <c r="DE154" s="256">
        <f>1+27.82/(1+EXP('Speed risk factors'!$I$3-'Speed risk factors'!$I$2*'Speed risk factors'!B67))</f>
        <v>14.798722373912563</v>
      </c>
      <c r="DF154" s="257">
        <f t="shared" si="18"/>
        <v>28.777672147639208</v>
      </c>
      <c r="DG154" s="62">
        <f>DE154</f>
        <v>14.798722373912563</v>
      </c>
      <c r="DH154" s="22"/>
      <c r="DI154"/>
    </row>
    <row r="155" spans="108:113" x14ac:dyDescent="0.25">
      <c r="DD155" s="261">
        <v>66</v>
      </c>
      <c r="DE155" s="256">
        <f>1+27.82/(1+EXP('Speed risk factors'!$I$3-'Speed risk factors'!$I$2*'Speed risk factors'!B68))</f>
        <v>15.431380625740852</v>
      </c>
      <c r="DF155" s="257">
        <f t="shared" ref="DF155:DF186" si="19">1+27.82/(1+EXP(7.44925-0.13322*((DD155*1.609344))))</f>
        <v>28.785830201883979</v>
      </c>
      <c r="DH155" s="22"/>
      <c r="DI155"/>
    </row>
    <row r="156" spans="108:113" x14ac:dyDescent="0.25">
      <c r="DD156" s="261">
        <v>67</v>
      </c>
      <c r="DE156" s="256">
        <f>1+27.82/(1+EXP('Speed risk factors'!$I$3-'Speed risk factors'!$I$2*'Speed risk factors'!B69))</f>
        <v>16.061886099569769</v>
      </c>
      <c r="DF156" s="257">
        <f t="shared" si="19"/>
        <v>28.792417475683553</v>
      </c>
      <c r="DH156" s="22"/>
      <c r="DI156"/>
    </row>
    <row r="157" spans="108:113" x14ac:dyDescent="0.25">
      <c r="DD157" s="261">
        <v>68</v>
      </c>
      <c r="DE157" s="256">
        <f>1+27.82/(1+EXP('Speed risk factors'!$I$3-'Speed risk factors'!$I$2*'Speed risk factors'!B70))</f>
        <v>16.687661357665199</v>
      </c>
      <c r="DF157" s="257">
        <f t="shared" si="19"/>
        <v>28.797735868501317</v>
      </c>
      <c r="DH157" s="22"/>
      <c r="DI157"/>
    </row>
    <row r="158" spans="108:113" x14ac:dyDescent="0.25">
      <c r="DD158" s="261">
        <v>69</v>
      </c>
      <c r="DE158" s="256">
        <f>1+27.82/(1+EXP('Speed risk factors'!$I$3-'Speed risk factors'!$I$2*'Speed risk factors'!B71))</f>
        <v>17.306206157130251</v>
      </c>
      <c r="DF158" s="257">
        <f t="shared" si="19"/>
        <v>28.802029445294771</v>
      </c>
      <c r="DH158" s="22"/>
      <c r="DI158"/>
    </row>
    <row r="159" spans="108:113" x14ac:dyDescent="0.25">
      <c r="DD159" s="261">
        <v>70</v>
      </c>
      <c r="DE159" s="256">
        <f>1+27.82/(1+EXP('Speed risk factors'!$I$3-'Speed risk factors'!$I$2*'Speed risk factors'!B72))</f>
        <v>17.915136569092734</v>
      </c>
      <c r="DF159" s="257">
        <f t="shared" si="19"/>
        <v>28.805495449604326</v>
      </c>
      <c r="DG159" s="62">
        <f>DE159</f>
        <v>17.915136569092734</v>
      </c>
      <c r="DH159" s="22"/>
      <c r="DI159"/>
    </row>
    <row r="160" spans="108:113" x14ac:dyDescent="0.25">
      <c r="DD160" s="261">
        <v>71</v>
      </c>
      <c r="DE160" s="256">
        <f>1+27.82/(1+EXP('Speed risk factors'!$I$3-'Speed risk factors'!$I$2*'Speed risk factors'!B73))</f>
        <v>18.512220174932928</v>
      </c>
      <c r="DF160" s="257">
        <f t="shared" si="19"/>
        <v>28.808293242630992</v>
      </c>
      <c r="DH160" s="22"/>
      <c r="DI160"/>
    </row>
    <row r="161" spans="108:113" x14ac:dyDescent="0.25">
      <c r="DD161" s="261">
        <v>72</v>
      </c>
      <c r="DE161" s="256">
        <f>1+27.82/(1+EXP('Speed risk factors'!$I$3-'Speed risk factors'!$I$2*'Speed risk factors'!B74))</f>
        <v>19.095406295137828</v>
      </c>
      <c r="DF161" s="257">
        <f t="shared" si="19"/>
        <v>28.810551550755843</v>
      </c>
      <c r="DH161" s="22"/>
      <c r="DI161"/>
    </row>
    <row r="162" spans="108:113" x14ac:dyDescent="0.25">
      <c r="DD162" s="261">
        <v>73</v>
      </c>
      <c r="DE162" s="256">
        <f>1+27.82/(1+EXP('Speed risk factors'!$I$3-'Speed risk factors'!$I$2*'Speed risk factors'!B75))</f>
        <v>19.662850479317839</v>
      </c>
      <c r="DF162" s="257">
        <f t="shared" si="19"/>
        <v>28.812374336310025</v>
      </c>
      <c r="DH162" s="22"/>
      <c r="DI162"/>
    </row>
    <row r="163" spans="108:113" x14ac:dyDescent="0.25">
      <c r="DD163" s="261">
        <v>74</v>
      </c>
      <c r="DE163" s="256">
        <f>1+27.82/(1+EXP('Speed risk factors'!$I$3-'Speed risk factors'!$I$2*'Speed risk factors'!B76))</f>
        <v>20.212932785874784</v>
      </c>
      <c r="DF163" s="257">
        <f t="shared" si="19"/>
        <v>28.813845549684064</v>
      </c>
      <c r="DH163" s="22"/>
      <c r="DI163"/>
    </row>
    <row r="164" spans="108:113" x14ac:dyDescent="0.25">
      <c r="DD164" s="261">
        <v>75</v>
      </c>
      <c r="DE164" s="256">
        <f>1+27.82/(1+EXP('Speed risk factors'!$I$3-'Speed risk factors'!$I$2*'Speed risk factors'!B77))</f>
        <v>20.744269683791842</v>
      </c>
      <c r="DF164" s="257">
        <f t="shared" si="19"/>
        <v>28.815032973695452</v>
      </c>
      <c r="DG164" s="62">
        <f>DE164</f>
        <v>20.744269683791842</v>
      </c>
      <c r="DH164" s="22"/>
      <c r="DI164"/>
    </row>
    <row r="165" spans="108:113" x14ac:dyDescent="0.25">
      <c r="DD165" s="261">
        <v>76</v>
      </c>
      <c r="DE165" s="256">
        <f>1+27.82/(1+EXP('Speed risk factors'!$I$3-'Speed risk factors'!$I$2*'Speed risk factors'!B78))</f>
        <v>21.255719695767056</v>
      </c>
      <c r="DF165" s="257">
        <f t="shared" si="19"/>
        <v>28.815991332153004</v>
      </c>
      <c r="DH165" s="22"/>
      <c r="DI165"/>
    </row>
    <row r="166" spans="108:113" x14ac:dyDescent="0.25">
      <c r="DD166" s="261">
        <v>77</v>
      </c>
      <c r="DE166" s="256">
        <f>1+27.82/(1+EXP('Speed risk factors'!$I$3-'Speed risk factors'!$I$2*'Speed risk factors'!B79))</f>
        <v>21.746383153820535</v>
      </c>
      <c r="DF166" s="257">
        <f t="shared" si="19"/>
        <v>28.816764802500284</v>
      </c>
      <c r="DH166" s="22"/>
      <c r="DI166"/>
    </row>
    <row r="167" spans="108:113" x14ac:dyDescent="0.25">
      <c r="DD167" s="261">
        <v>78</v>
      </c>
      <c r="DE167" s="256">
        <f>1+27.82/(1+EXP('Speed risk factors'!$I$3-'Speed risk factors'!$I$2*'Speed risk factors'!B80))</f>
        <v>22.215596642874836</v>
      </c>
      <c r="DF167" s="257">
        <f t="shared" si="19"/>
        <v>28.817389046160418</v>
      </c>
      <c r="DH167" s="22"/>
      <c r="DI167"/>
    </row>
    <row r="168" spans="108:113" x14ac:dyDescent="0.25">
      <c r="DD168" s="261">
        <v>79</v>
      </c>
      <c r="DE168" s="256">
        <f>1+27.82/(1+EXP('Speed risk factors'!$I$3-'Speed risk factors'!$I$2*'Speed risk factors'!B81))</f>
        <v>22.662922857406503</v>
      </c>
      <c r="DF168" s="257">
        <f t="shared" si="19"/>
        <v>28.817892848756745</v>
      </c>
      <c r="DH168" s="22"/>
      <c r="DI168"/>
    </row>
    <row r="169" spans="108:113" x14ac:dyDescent="0.25">
      <c r="DD169" s="261">
        <v>80</v>
      </c>
      <c r="DE169" s="256">
        <f>1+27.82/(1+EXP('Speed risk factors'!$I$3-'Speed risk factors'!$I$2*'Speed risk factors'!B82))</f>
        <v>23.088136689180526</v>
      </c>
      <c r="DF169" s="257">
        <f t="shared" si="19"/>
        <v>28.818299444908561</v>
      </c>
      <c r="DG169" s="62">
        <f>DE169</f>
        <v>23.088136689180526</v>
      </c>
      <c r="DH169" s="22"/>
      <c r="DI169"/>
    </row>
    <row r="170" spans="108:113" x14ac:dyDescent="0.25">
      <c r="DD170" s="261">
        <v>81</v>
      </c>
      <c r="DE170" s="256">
        <f>1+27.82/(1+EXP('Speed risk factors'!$I$3-'Speed risk factors'!$I$2*'Speed risk factors'!B83))</f>
        <v>23.491208403019971</v>
      </c>
      <c r="DF170" s="257">
        <f t="shared" si="19"/>
        <v>28.8186275880898</v>
      </c>
      <c r="DH170" s="22"/>
      <c r="DI170"/>
    </row>
    <row r="171" spans="108:113" x14ac:dyDescent="0.25">
      <c r="DD171" s="261">
        <v>82</v>
      </c>
      <c r="DE171" s="256">
        <f>1+27.82/(1+EXP('Speed risk factors'!$I$3-'Speed risk factors'!$I$2*'Speed risk factors'!B84))</f>
        <v>23.872284748808632</v>
      </c>
      <c r="DF171" s="257">
        <f t="shared" si="19"/>
        <v>28.818892414498336</v>
      </c>
      <c r="DH171" s="22"/>
      <c r="DI171"/>
    </row>
    <row r="172" spans="108:113" x14ac:dyDescent="0.25">
      <c r="DD172" s="261">
        <v>83</v>
      </c>
      <c r="DE172" s="256">
        <f>1+27.82/(1+EXP('Speed risk factors'!$I$3-'Speed risk factors'!$I$2*'Speed risk factors'!B85))</f>
        <v>24.231668810102363</v>
      </c>
      <c r="DF172" s="257">
        <f t="shared" si="19"/>
        <v>28.81910614052466</v>
      </c>
      <c r="DH172" s="22"/>
      <c r="DI172"/>
    </row>
    <row r="173" spans="108:113" x14ac:dyDescent="0.25">
      <c r="DD173" s="261">
        <v>84</v>
      </c>
      <c r="DE173" s="256">
        <f>1+27.82/(1+EXP('Speed risk factors'!$I$3-'Speed risk factors'!$I$2*'Speed risk factors'!B86))</f>
        <v>24.569799312604776</v>
      </c>
      <c r="DF173" s="257">
        <f t="shared" si="19"/>
        <v>28.819278625825312</v>
      </c>
      <c r="DH173" s="22"/>
      <c r="DI173"/>
    </row>
    <row r="174" spans="108:113" x14ac:dyDescent="0.25">
      <c r="DD174" s="261">
        <v>85</v>
      </c>
      <c r="DE174" s="256">
        <f>1+27.82/(1+EXP('Speed risk factors'!$I$3-'Speed risk factors'!$I$2*'Speed risk factors'!B87))</f>
        <v>24.887230019206424</v>
      </c>
      <c r="DF174" s="257">
        <f t="shared" si="19"/>
        <v>28.819417827867071</v>
      </c>
      <c r="DG174" s="62">
        <f>DE174</f>
        <v>24.887230019206424</v>
      </c>
      <c r="DH174" s="22"/>
      <c r="DI174"/>
    </row>
    <row r="175" spans="108:113" x14ac:dyDescent="0.25">
      <c r="DD175" s="261">
        <v>86</v>
      </c>
      <c r="DE175" s="256">
        <f>1+27.82/(1+EXP('Speed risk factors'!$I$3-'Speed risk factors'!$I$2*'Speed risk factors'!B88))</f>
        <v>25.184609731425194</v>
      </c>
      <c r="DF175" s="257">
        <f t="shared" si="19"/>
        <v>28.819530168840252</v>
      </c>
      <c r="DH175" s="22"/>
      <c r="DI175"/>
    </row>
    <row r="176" spans="108:113" x14ac:dyDescent="0.25">
      <c r="DD176" s="261">
        <v>87</v>
      </c>
      <c r="DE176" s="256">
        <f>1+27.82/(1+EXP('Speed risk factors'!$I$3-'Speed risk factors'!$I$2*'Speed risk factors'!B89))</f>
        <v>25.462663307763453</v>
      </c>
      <c r="DF176" s="257">
        <f t="shared" si="19"/>
        <v>28.819620831822462</v>
      </c>
      <c r="DH176" s="22"/>
      <c r="DI176"/>
    </row>
    <row r="177" spans="108:113" x14ac:dyDescent="0.25">
      <c r="DD177" s="261">
        <v>88</v>
      </c>
      <c r="DE177" s="256">
        <f>1+27.82/(1+EXP('Speed risk factors'!$I$3-'Speed risk factors'!$I$2*'Speed risk factors'!B90))</f>
        <v>25.722174003972562</v>
      </c>
      <c r="DF177" s="257">
        <f t="shared" si="19"/>
        <v>28.819693999826402</v>
      </c>
      <c r="DH177" s="22"/>
      <c r="DI177"/>
    </row>
    <row r="178" spans="108:113" x14ac:dyDescent="0.25">
      <c r="DD178" s="261">
        <v>89</v>
      </c>
      <c r="DE178" s="256">
        <f>1+27.82/(1+EXP('Speed risk factors'!$I$3-'Speed risk factors'!$I$2*'Speed risk factors'!B91))</f>
        <v>25.963967343073264</v>
      </c>
      <c r="DF178" s="257">
        <f t="shared" si="19"/>
        <v>28.819753048741251</v>
      </c>
      <c r="DH178" s="22"/>
      <c r="DI178"/>
    </row>
    <row r="179" spans="108:113" x14ac:dyDescent="0.25">
      <c r="DD179" s="261">
        <v>90</v>
      </c>
      <c r="DE179" s="256">
        <f>1+27.82/(1+EXP('Speed risk factors'!$I$3-'Speed risk factors'!$I$2*'Speed risk factors'!B92))</f>
        <v>26.188896637219017</v>
      </c>
      <c r="DF179" s="257">
        <f t="shared" si="19"/>
        <v>28.819800703056796</v>
      </c>
      <c r="DG179" s="62">
        <f>DE179</f>
        <v>26.188896637219017</v>
      </c>
      <c r="DH179" s="22"/>
      <c r="DI179"/>
    </row>
    <row r="180" spans="108:113" x14ac:dyDescent="0.25">
      <c r="DD180" s="261">
        <v>91</v>
      </c>
      <c r="DE180" s="256">
        <f>1+27.82/(1+EXP('Speed risk factors'!$I$3-'Speed risk factors'!$I$2*'Speed risk factors'!B93))</f>
        <v>26.397830210711653</v>
      </c>
      <c r="DF180" s="257">
        <f t="shared" si="19"/>
        <v>28.819839161546927</v>
      </c>
      <c r="DH180" s="22"/>
      <c r="DI180"/>
    </row>
    <row r="181" spans="108:113" x14ac:dyDescent="0.25">
      <c r="DD181" s="261">
        <v>92</v>
      </c>
      <c r="DE181" s="256">
        <f>1+27.82/(1+EXP('Speed risk factors'!$I$3-'Speed risk factors'!$I$2*'Speed risk factors'!B94))</f>
        <v>26.591640314147334</v>
      </c>
      <c r="DF181" s="257">
        <f t="shared" si="19"/>
        <v>28.819870198706166</v>
      </c>
      <c r="DH181" s="22"/>
      <c r="DI181"/>
    </row>
    <row r="182" spans="108:113" x14ac:dyDescent="0.25">
      <c r="DD182" s="261">
        <v>93</v>
      </c>
      <c r="DE182" s="256">
        <f>1+27.82/(1+EXP('Speed risk factors'!$I$3-'Speed risk factors'!$I$2*'Speed risk factors'!B95))</f>
        <v>26.771193673379464</v>
      </c>
      <c r="DF182" s="257">
        <f t="shared" si="19"/>
        <v>28.819895246615889</v>
      </c>
      <c r="DH182" s="22"/>
      <c r="DI182"/>
    </row>
    <row r="183" spans="108:113" x14ac:dyDescent="0.25">
      <c r="DD183" s="261">
        <v>94</v>
      </c>
      <c r="DE183" s="256">
        <f>1+27.82/(1+EXP('Speed risk factors'!$I$3-'Speed risk factors'!$I$2*'Speed risk factors'!B96))</f>
        <v>26.937343582722974</v>
      </c>
      <c r="DF183" s="257">
        <f t="shared" si="19"/>
        <v>28.819915461015441</v>
      </c>
      <c r="DH183" s="22"/>
      <c r="DI183"/>
    </row>
    <row r="184" spans="108:113" x14ac:dyDescent="0.25">
      <c r="DD184" s="261">
        <v>95</v>
      </c>
      <c r="DE184" s="256">
        <f>1+27.82/(1+EXP('Speed risk factors'!$I$3-'Speed risk factors'!$I$2*'Speed risk factors'!B97))</f>
        <v>27.090923428203052</v>
      </c>
      <c r="DF184" s="257">
        <f t="shared" si="19"/>
        <v>28.81993177462504</v>
      </c>
      <c r="DG184" s="62">
        <f>DE184</f>
        <v>27.090923428203052</v>
      </c>
      <c r="DH184" s="22"/>
      <c r="DI184"/>
    </row>
    <row r="185" spans="108:113" x14ac:dyDescent="0.25">
      <c r="DD185" s="261">
        <v>96</v>
      </c>
      <c r="DE185" s="256">
        <f>1+27.82/(1+EXP('Speed risk factors'!$I$3-'Speed risk factors'!$I$2*'Speed risk factors'!B98))</f>
        <v>27.232741512098034</v>
      </c>
      <c r="DF185" s="257">
        <f t="shared" si="19"/>
        <v>28.81994494018014</v>
      </c>
      <c r="DH185" s="22"/>
      <c r="DI185"/>
    </row>
    <row r="186" spans="108:113" x14ac:dyDescent="0.25">
      <c r="DD186" s="261">
        <v>97</v>
      </c>
      <c r="DE186" s="256">
        <f>1+27.82/(1+EXP('Speed risk factors'!$I$3-'Speed risk factors'!$I$2*'Speed risk factors'!B99))</f>
        <v>27.363577042928608</v>
      </c>
      <c r="DF186" s="257">
        <f t="shared" si="19"/>
        <v>28.819955565161962</v>
      </c>
      <c r="DH186" s="22"/>
      <c r="DI186"/>
    </row>
    <row r="187" spans="108:113" x14ac:dyDescent="0.25">
      <c r="DD187" s="261">
        <v>98</v>
      </c>
      <c r="DE187" s="256">
        <f>1+27.82/(1+EXP('Speed risk factors'!$I$3-'Speed risk factors'!$I$2*'Speed risk factors'!B100))</f>
        <v>27.484177153856713</v>
      </c>
      <c r="DF187" s="257">
        <f t="shared" ref="DF187:DF218" si="20">1+27.82/(1+EXP(7.44925-0.13322*((DD187*1.609344))))</f>
        <v>28.819964139826631</v>
      </c>
      <c r="DH187" s="22"/>
      <c r="DI187"/>
    </row>
    <row r="188" spans="108:113" x14ac:dyDescent="0.25">
      <c r="DD188" s="261">
        <v>99</v>
      </c>
      <c r="DE188" s="256">
        <f>1+27.82/(1+EXP('Speed risk factors'!$I$3-'Speed risk factors'!$I$2*'Speed risk factors'!B101))</f>
        <v>27.595254815765237</v>
      </c>
      <c r="DF188" s="257">
        <f t="shared" si="20"/>
        <v>28.819971059825704</v>
      </c>
      <c r="DH188" s="22"/>
      <c r="DI188"/>
    </row>
    <row r="189" spans="108:113" x14ac:dyDescent="0.25">
      <c r="DD189" s="261">
        <v>100</v>
      </c>
      <c r="DE189" s="256">
        <f>1+27.82/(1+EXP('Speed risk factors'!$I$3-'Speed risk factors'!$I$2*'Speed risk factors'!B102))</f>
        <v>27.697487517854828</v>
      </c>
      <c r="DF189" s="257">
        <f t="shared" si="20"/>
        <v>28.819976644461825</v>
      </c>
      <c r="DG189" s="62">
        <f>DE189</f>
        <v>27.697487517854828</v>
      </c>
      <c r="DH189" s="22"/>
      <c r="DI189"/>
    </row>
    <row r="190" spans="108:113" x14ac:dyDescent="0.25">
      <c r="DD190" s="261">
        <v>101</v>
      </c>
      <c r="DE190" s="256">
        <f>1+27.82/(1+EXP('Speed risk factors'!$I$3-'Speed risk factors'!$I$2*'Speed risk factors'!B103))</f>
        <v>27.791516597366442</v>
      </c>
      <c r="DF190" s="257">
        <f t="shared" si="20"/>
        <v>28.819981151421661</v>
      </c>
      <c r="DH190" s="22"/>
      <c r="DI190"/>
    </row>
    <row r="191" spans="108:113" x14ac:dyDescent="0.25">
      <c r="DD191" s="261">
        <v>102</v>
      </c>
      <c r="DE191" s="256">
        <f>1+27.82/(1+EXP('Speed risk factors'!$I$3-'Speed risk factors'!$I$2*'Speed risk factors'!B104))</f>
        <v>27.877947110156807</v>
      </c>
      <c r="DF191" s="257">
        <f t="shared" si="20"/>
        <v>28.819984788665906</v>
      </c>
      <c r="DH191" s="22"/>
      <c r="DI191"/>
    </row>
    <row r="192" spans="108:113" x14ac:dyDescent="0.25">
      <c r="DD192" s="261">
        <v>103</v>
      </c>
      <c r="DE192" s="256">
        <f>1+27.82/(1+EXP('Speed risk factors'!$I$3-'Speed risk factors'!$I$2*'Speed risk factors'!B105))</f>
        <v>27.957348144633944</v>
      </c>
      <c r="DF192" s="257">
        <f t="shared" si="20"/>
        <v>28.819987724024852</v>
      </c>
      <c r="DH192" s="22"/>
      <c r="DI192"/>
    </row>
    <row r="193" spans="108:113" x14ac:dyDescent="0.25">
      <c r="DD193" s="261">
        <v>104</v>
      </c>
      <c r="DE193" s="256">
        <f>1+27.82/(1+EXP('Speed risk factors'!$I$3-'Speed risk factors'!$I$2*'Speed risk factors'!B106))</f>
        <v>28.030253492476572</v>
      </c>
      <c r="DF193" s="257">
        <f t="shared" si="20"/>
        <v>28.819990092942426</v>
      </c>
      <c r="DH193" s="22"/>
      <c r="DI193"/>
    </row>
    <row r="194" spans="108:113" x14ac:dyDescent="0.25">
      <c r="DD194" s="261">
        <v>105</v>
      </c>
      <c r="DE194" s="256">
        <f>1+27.82/(1+EXP('Speed risk factors'!$I$3-'Speed risk factors'!$I$2*'Speed risk factors'!B107))</f>
        <v>28.097162600226007</v>
      </c>
      <c r="DF194" s="257">
        <f t="shared" si="20"/>
        <v>28.81999200472573</v>
      </c>
      <c r="DG194" s="62">
        <f>DE194</f>
        <v>28.097162600226007</v>
      </c>
      <c r="DH194" s="22"/>
      <c r="DI194"/>
    </row>
    <row r="195" spans="108:113" x14ac:dyDescent="0.25">
      <c r="DD195" s="261">
        <v>106</v>
      </c>
      <c r="DE195" s="256">
        <f>1+27.82/(1+EXP('Speed risk factors'!$I$3-'Speed risk factors'!$I$2*'Speed risk factors'!B108))</f>
        <v>28.158541735979437</v>
      </c>
      <c r="DF195" s="257">
        <f t="shared" si="20"/>
        <v>28.819993547588744</v>
      </c>
      <c r="DH195" s="22"/>
      <c r="DI195"/>
    </row>
    <row r="196" spans="108:113" x14ac:dyDescent="0.25">
      <c r="DD196" s="261">
        <v>107</v>
      </c>
      <c r="DE196" s="256">
        <f>1+27.82/(1+EXP('Speed risk factors'!$I$3-'Speed risk factors'!$I$2*'Speed risk factors'!B109))</f>
        <v>28.214825314850319</v>
      </c>
      <c r="DF196" s="257">
        <f t="shared" si="20"/>
        <v>28.81999479272266</v>
      </c>
      <c r="DH196" s="22"/>
      <c r="DI196"/>
    </row>
    <row r="197" spans="108:113" x14ac:dyDescent="0.25">
      <c r="DD197" s="261">
        <v>108</v>
      </c>
      <c r="DE197" s="256">
        <f>1+27.82/(1+EXP('Speed risk factors'!$I$3-'Speed risk factors'!$I$2*'Speed risk factors'!B110))</f>
        <v>28.266417335489876</v>
      </c>
      <c r="DF197" s="257">
        <f t="shared" si="20"/>
        <v>28.819995797580781</v>
      </c>
      <c r="DH197" s="22"/>
      <c r="DI197"/>
    </row>
    <row r="198" spans="108:113" x14ac:dyDescent="0.25">
      <c r="DD198" s="261">
        <v>109</v>
      </c>
      <c r="DE198" s="256">
        <f>1+27.82/(1+EXP('Speed risk factors'!$I$3-'Speed risk factors'!$I$2*'Speed risk factors'!B111))</f>
        <v>28.313692887735311</v>
      </c>
      <c r="DF198" s="257">
        <f t="shared" si="20"/>
        <v>28.819996608529561</v>
      </c>
      <c r="DH198" s="22"/>
      <c r="DI198"/>
    </row>
    <row r="199" spans="108:113" x14ac:dyDescent="0.25">
      <c r="DD199" s="261">
        <v>110</v>
      </c>
      <c r="DE199" s="256">
        <f>1+27.82/(1+EXP('Speed risk factors'!$I$3-'Speed risk factors'!$I$2*'Speed risk factors'!B112))</f>
        <v>28.356999698360269</v>
      </c>
      <c r="DF199" s="257">
        <f t="shared" si="20"/>
        <v>28.819997262988032</v>
      </c>
      <c r="DG199" s="62">
        <f>DE199</f>
        <v>28.356999698360269</v>
      </c>
      <c r="DH199" s="22"/>
      <c r="DI199"/>
    </row>
    <row r="200" spans="108:113" x14ac:dyDescent="0.25">
      <c r="DD200" s="261">
        <v>111</v>
      </c>
      <c r="DE200" s="256">
        <f>1+27.82/(1+EXP('Speed risk factors'!$I$3-'Speed risk factors'!$I$2*'Speed risk factors'!B113))</f>
        <v>28.39665968797518</v>
      </c>
      <c r="DF200" s="257">
        <f t="shared" si="20"/>
        <v>28.819997791154432</v>
      </c>
      <c r="DH200" s="22"/>
      <c r="DI200"/>
    </row>
    <row r="201" spans="108:113" x14ac:dyDescent="0.25">
      <c r="DD201" s="261">
        <v>112</v>
      </c>
      <c r="DE201" s="256">
        <f>1+27.82/(1+EXP('Speed risk factors'!$I$3-'Speed risk factors'!$I$2*'Speed risk factors'!B114))</f>
        <v>28.432970517405938</v>
      </c>
      <c r="DF201" s="257">
        <f t="shared" si="20"/>
        <v>28.819998217399561</v>
      </c>
      <c r="DH201" s="22"/>
      <c r="DI201"/>
    </row>
    <row r="202" spans="108:113" x14ac:dyDescent="0.25">
      <c r="DD202" s="261">
        <v>113</v>
      </c>
      <c r="DE202" s="256">
        <f>1+27.82/(1+EXP('Speed risk factors'!$I$3-'Speed risk factors'!$I$2*'Speed risk factors'!B115))</f>
        <v>28.466207106425614</v>
      </c>
      <c r="DF202" s="257">
        <f t="shared" si="20"/>
        <v>28.819998561391358</v>
      </c>
      <c r="DH202" s="22"/>
      <c r="DI202"/>
    </row>
    <row r="203" spans="108:113" x14ac:dyDescent="0.25">
      <c r="DD203" s="261">
        <v>114</v>
      </c>
      <c r="DE203" s="256">
        <f>1+27.82/(1+EXP('Speed risk factors'!$I$3-'Speed risk factors'!$I$2*'Speed risk factors'!B116))</f>
        <v>28.496623111592385</v>
      </c>
      <c r="DF203" s="257">
        <f t="shared" si="20"/>
        <v>28.819998839002409</v>
      </c>
      <c r="DH203" s="22"/>
      <c r="DI203"/>
    </row>
    <row r="204" spans="108:113" x14ac:dyDescent="0.25">
      <c r="DD204" s="261">
        <v>115</v>
      </c>
      <c r="DE204" s="256">
        <f>1+27.82/(1+EXP('Speed risk factors'!$I$3-'Speed risk factors'!$I$2*'Speed risk factors'!B117))</f>
        <v>28.524452353224177</v>
      </c>
      <c r="DF204" s="257">
        <f t="shared" si="20"/>
        <v>28.819999063042331</v>
      </c>
      <c r="DG204" s="62">
        <f>DE204</f>
        <v>28.524452353224177</v>
      </c>
      <c r="DH204" s="22"/>
      <c r="DI204"/>
    </row>
    <row r="205" spans="108:113" x14ac:dyDescent="0.25">
      <c r="DD205" s="261">
        <v>116</v>
      </c>
      <c r="DE205" s="256">
        <f>1+27.82/(1+EXP('Speed risk factors'!$I$3-'Speed risk factors'!$I$2*'Speed risk factors'!B118))</f>
        <v>28.549910184285391</v>
      </c>
      <c r="DF205" s="257">
        <f t="shared" si="20"/>
        <v>28.819999243848837</v>
      </c>
      <c r="DH205" s="22"/>
      <c r="DI205"/>
    </row>
    <row r="206" spans="108:113" x14ac:dyDescent="0.25">
      <c r="DD206" s="261">
        <v>117</v>
      </c>
      <c r="DE206" s="256">
        <f>1+27.82/(1+EXP('Speed risk factors'!$I$3-'Speed risk factors'!$I$2*'Speed risk factors'!B119))</f>
        <v>28.573194796237264</v>
      </c>
      <c r="DF206" s="257">
        <f t="shared" si="20"/>
        <v>28.819999389764774</v>
      </c>
      <c r="DH206" s="22"/>
      <c r="DI206"/>
    </row>
    <row r="207" spans="108:113" x14ac:dyDescent="0.25">
      <c r="DD207" s="261">
        <v>118</v>
      </c>
      <c r="DE207" s="256">
        <f>1+27.82/(1+EXP('Speed risk factors'!$I$3-'Speed risk factors'!$I$2*'Speed risk factors'!B120))</f>
        <v>28.594488458772883</v>
      </c>
      <c r="DF207" s="257">
        <f t="shared" si="20"/>
        <v>28.819999507523029</v>
      </c>
      <c r="DH207" s="22"/>
      <c r="DI207"/>
    </row>
    <row r="208" spans="108:113" x14ac:dyDescent="0.25">
      <c r="DD208" s="261">
        <v>119</v>
      </c>
      <c r="DE208" s="256">
        <f>1+27.82/(1+EXP('Speed risk factors'!$I$3-'Speed risk factors'!$I$2*'Speed risk factors'!B121))</f>
        <v>28.613958691875659</v>
      </c>
      <c r="DF208" s="257">
        <f t="shared" si="20"/>
        <v>28.81999960255725</v>
      </c>
      <c r="DH208" s="22"/>
      <c r="DI208"/>
    </row>
    <row r="209" spans="108:113" x14ac:dyDescent="0.25">
      <c r="DD209" s="261">
        <v>120</v>
      </c>
      <c r="DE209" s="256">
        <f>1+27.82/(1+EXP('Speed risk factors'!$I$3-'Speed risk factors'!$I$2*'Speed risk factors'!B122))</f>
        <v>28.631759369857509</v>
      </c>
      <c r="DF209" s="257">
        <f t="shared" si="20"/>
        <v>28.81999967925254</v>
      </c>
      <c r="DG209" s="62">
        <f>DE209</f>
        <v>28.631759369857509</v>
      </c>
      <c r="DH209" s="22"/>
      <c r="DI209"/>
    </row>
    <row r="210" spans="108:113" x14ac:dyDescent="0.25">
      <c r="DD210" s="261">
        <v>121</v>
      </c>
      <c r="DE210" s="256">
        <f>1+27.82/(1+EXP('Speed risk factors'!$I$3-'Speed risk factors'!$I$2*'Speed risk factors'!B123))</f>
        <v>28.64803175799538</v>
      </c>
      <c r="DF210" s="257">
        <f t="shared" si="20"/>
        <v>28.819999741147793</v>
      </c>
      <c r="DH210" s="22"/>
      <c r="DI210"/>
    </row>
    <row r="211" spans="108:113" x14ac:dyDescent="0.25">
      <c r="DD211" s="261">
        <v>122</v>
      </c>
      <c r="DE211" s="256">
        <f>1+27.82/(1+EXP('Speed risk factors'!$I$3-'Speed risk factors'!$I$2*'Speed risk factors'!B124))</f>
        <v>28.662905483131883</v>
      </c>
      <c r="DF211" s="257">
        <f t="shared" si="20"/>
        <v>28.819999791098997</v>
      </c>
      <c r="DH211" s="22"/>
      <c r="DI211"/>
    </row>
    <row r="212" spans="108:113" x14ac:dyDescent="0.25">
      <c r="DD212" s="261">
        <v>123</v>
      </c>
      <c r="DE212" s="256">
        <f>1+27.82/(1+EXP('Speed risk factors'!$I$3-'Speed risk factors'!$I$2*'Speed risk factors'!B125))</f>
        <v>28.67649944017343</v>
      </c>
      <c r="DF212" s="257">
        <f t="shared" si="20"/>
        <v>28.819999831411021</v>
      </c>
      <c r="DH212" s="22"/>
      <c r="DI212"/>
    </row>
    <row r="213" spans="108:113" x14ac:dyDescent="0.25">
      <c r="DD213" s="261">
        <v>124</v>
      </c>
      <c r="DE213" s="256">
        <f>1+27.82/(1+EXP('Speed risk factors'!$I$3-'Speed risk factors'!$I$2*'Speed risk factors'!B126))</f>
        <v>28.688922636837191</v>
      </c>
      <c r="DF213" s="257">
        <f t="shared" si="20"/>
        <v>28.819999863943963</v>
      </c>
      <c r="DH213" s="22"/>
      <c r="DI213"/>
    </row>
    <row r="214" spans="108:113" x14ac:dyDescent="0.25">
      <c r="DD214" s="261">
        <v>125</v>
      </c>
      <c r="DE214" s="256">
        <f>1+27.82/(1+EXP('Speed risk factors'!$I$3-'Speed risk factors'!$I$2*'Speed risk factors'!B127))</f>
        <v>28.700274979293823</v>
      </c>
      <c r="DF214" s="257">
        <f t="shared" si="20"/>
        <v>28.819999890198957</v>
      </c>
      <c r="DG214" s="62">
        <f>DE214</f>
        <v>28.700274979293823</v>
      </c>
      <c r="DH214" s="22"/>
      <c r="DI214"/>
    </row>
    <row r="215" spans="108:113" x14ac:dyDescent="0.25">
      <c r="DD215" s="261">
        <v>126</v>
      </c>
      <c r="DE215" s="256">
        <f>1+27.82/(1+EXP('Speed risk factors'!$I$3-'Speed risk factors'!$I$2*'Speed risk factors'!B128))</f>
        <v>28.710648001547479</v>
      </c>
      <c r="DF215" s="257">
        <f t="shared" si="20"/>
        <v>28.819999911387473</v>
      </c>
      <c r="DH215" s="22"/>
      <c r="DI215"/>
    </row>
    <row r="216" spans="108:113" x14ac:dyDescent="0.25">
      <c r="DD216" s="261">
        <v>127</v>
      </c>
      <c r="DE216" s="256">
        <f>1+27.82/(1+EXP('Speed risk factors'!$I$3-'Speed risk factors'!$I$2*'Speed risk factors'!B129))</f>
        <v>28.720125541508637</v>
      </c>
      <c r="DF216" s="257">
        <f t="shared" si="20"/>
        <v>28.819999928487199</v>
      </c>
      <c r="DH216" s="22"/>
      <c r="DI216"/>
    </row>
    <row r="217" spans="108:113" x14ac:dyDescent="0.25">
      <c r="DD217" s="261">
        <v>128</v>
      </c>
      <c r="DE217" s="256">
        <f>1+27.82/(1+EXP('Speed risk factors'!$I$3-'Speed risk factors'!$I$2*'Speed risk factors'!B130))</f>
        <v>28.728784366764071</v>
      </c>
      <c r="DF217" s="257">
        <f t="shared" si="20"/>
        <v>28.819999942287161</v>
      </c>
      <c r="DH217" s="22"/>
      <c r="DI217"/>
    </row>
    <row r="218" spans="108:113" x14ac:dyDescent="0.25">
      <c r="DD218" s="261">
        <v>129</v>
      </c>
      <c r="DE218" s="256">
        <f>1+27.82/(1+EXP('Speed risk factors'!$I$3-'Speed risk factors'!$I$2*'Speed risk factors'!B131))</f>
        <v>28.736694753045867</v>
      </c>
      <c r="DF218" s="257">
        <f t="shared" si="20"/>
        <v>28.819999953424119</v>
      </c>
      <c r="DH218" s="22"/>
      <c r="DI218"/>
    </row>
    <row r="219" spans="108:113" x14ac:dyDescent="0.25">
      <c r="DD219" s="261">
        <v>130</v>
      </c>
      <c r="DE219" s="256">
        <f>1+27.82/(1+EXP('Speed risk factors'!$I$3-'Speed risk factors'!$I$2*'Speed risk factors'!B132))</f>
        <v>28.743921018359114</v>
      </c>
      <c r="DF219" s="257">
        <f t="shared" ref="DF219:DF239" si="21">1+27.82/(1+EXP(7.44925-0.13322*((DD219*1.609344))))</f>
        <v>28.819999962411956</v>
      </c>
      <c r="DG219" s="62">
        <f>DE219</f>
        <v>28.743921018359114</v>
      </c>
      <c r="DH219" s="22"/>
      <c r="DI219"/>
    </row>
    <row r="220" spans="108:113" x14ac:dyDescent="0.25">
      <c r="DD220" s="261">
        <v>131</v>
      </c>
      <c r="DE220" s="256">
        <f>1+27.82/(1+EXP('Speed risk factors'!$I$3-'Speed risk factors'!$I$2*'Speed risk factors'!B133))</f>
        <v>28.750522015655065</v>
      </c>
      <c r="DF220" s="257">
        <f t="shared" si="21"/>
        <v>28.819999969665393</v>
      </c>
      <c r="DH220" s="22"/>
      <c r="DI220"/>
    </row>
    <row r="221" spans="108:113" x14ac:dyDescent="0.25">
      <c r="DD221" s="261">
        <v>132</v>
      </c>
      <c r="DE221" s="256">
        <f>1+27.82/(1+EXP('Speed risk factors'!$I$3-'Speed risk factors'!$I$2*'Speed risk factors'!B134))</f>
        <v>28.756551586841304</v>
      </c>
      <c r="DF221" s="257">
        <f t="shared" si="21"/>
        <v>28.819999975519121</v>
      </c>
      <c r="DH221" s="22"/>
      <c r="DI221"/>
    </row>
    <row r="222" spans="108:113" x14ac:dyDescent="0.25">
      <c r="DD222" s="261">
        <v>133</v>
      </c>
      <c r="DE222" s="256">
        <f>1+27.82/(1+EXP('Speed risk factors'!$I$3-'Speed risk factors'!$I$2*'Speed risk factors'!B135))</f>
        <v>28.762058980808625</v>
      </c>
      <c r="DF222" s="257">
        <f t="shared" si="21"/>
        <v>28.819999980243239</v>
      </c>
      <c r="DH222" s="22"/>
      <c r="DI222"/>
    </row>
    <row r="223" spans="108:113" x14ac:dyDescent="0.25">
      <c r="DD223" s="261">
        <v>134</v>
      </c>
      <c r="DE223" s="256">
        <f>1+27.82/(1+EXP('Speed risk factors'!$I$3-'Speed risk factors'!$I$2*'Speed risk factors'!B136))</f>
        <v>28.767089238031701</v>
      </c>
      <c r="DF223" s="257">
        <f t="shared" si="21"/>
        <v>28.819999984055741</v>
      </c>
      <c r="DH223" s="22"/>
      <c r="DI223"/>
    </row>
    <row r="224" spans="108:113" x14ac:dyDescent="0.25">
      <c r="DD224" s="261">
        <v>135</v>
      </c>
      <c r="DE224" s="256">
        <f>1+27.82/(1+EXP('Speed risk factors'!$I$3-'Speed risk factors'!$I$2*'Speed risk factors'!B137))</f>
        <v>28.771683544170923</v>
      </c>
      <c r="DF224" s="257">
        <f t="shared" si="21"/>
        <v>28.81999998713254</v>
      </c>
      <c r="DG224" s="62">
        <f>DE224</f>
        <v>28.771683544170923</v>
      </c>
      <c r="DH224" s="22"/>
      <c r="DI224"/>
    </row>
    <row r="225" spans="108:116" x14ac:dyDescent="0.25">
      <c r="DD225" s="261">
        <v>136</v>
      </c>
      <c r="DE225" s="256">
        <f>1+27.82/(1+EXP('Speed risk factors'!$I$3-'Speed risk factors'!$I$2*'Speed risk factors'!B138))</f>
        <v>28.77587955496961</v>
      </c>
      <c r="DF225" s="257">
        <f t="shared" si="21"/>
        <v>28.819999989615596</v>
      </c>
      <c r="DH225" s="22"/>
      <c r="DI225"/>
    </row>
    <row r="226" spans="108:116" x14ac:dyDescent="0.25">
      <c r="DD226" s="261">
        <v>137</v>
      </c>
      <c r="DE226" s="256">
        <f>1+27.82/(1+EXP('Speed risk factors'!$I$3-'Speed risk factors'!$I$2*'Speed risk factors'!B139))</f>
        <v>28.77971169460659</v>
      </c>
      <c r="DF226" s="257">
        <f t="shared" si="21"/>
        <v>28.819999991619493</v>
      </c>
    </row>
    <row r="227" spans="108:116" x14ac:dyDescent="0.25">
      <c r="DD227" s="261">
        <v>138</v>
      </c>
      <c r="DE227" s="256">
        <f>1+27.82/(1+EXP('Speed risk factors'!$I$3-'Speed risk factors'!$I$2*'Speed risk factors'!B140))</f>
        <v>28.783211429531367</v>
      </c>
      <c r="DF227" s="257">
        <f t="shared" si="21"/>
        <v>28.819999993236692</v>
      </c>
    </row>
    <row r="228" spans="108:116" x14ac:dyDescent="0.25">
      <c r="DD228" s="261">
        <v>139</v>
      </c>
      <c r="DE228" s="256">
        <f>1+27.82/(1+EXP('Speed risk factors'!$I$3-'Speed risk factors'!$I$2*'Speed risk factors'!B141))</f>
        <v>28.786407519678448</v>
      </c>
      <c r="DF228" s="257">
        <f t="shared" si="21"/>
        <v>28.819999994541824</v>
      </c>
    </row>
    <row r="229" spans="108:116" x14ac:dyDescent="0.25">
      <c r="DD229" s="261">
        <v>140</v>
      </c>
      <c r="DE229" s="256">
        <f>1+27.82/(1+EXP('Speed risk factors'!$I$3-'Speed risk factors'!$I$2*'Speed risk factors'!B142))</f>
        <v>28.789326248831397</v>
      </c>
      <c r="DF229" s="257">
        <f t="shared" si="21"/>
        <v>28.819999995595097</v>
      </c>
      <c r="DG229" s="62">
        <f>DE229</f>
        <v>28.789326248831397</v>
      </c>
    </row>
    <row r="230" spans="108:116" x14ac:dyDescent="0.25">
      <c r="DD230" s="261">
        <v>141</v>
      </c>
      <c r="DE230" s="256">
        <f>1+27.82/(1+EXP('Speed risk factors'!$I$3-'Speed risk factors'!$I$2*'Speed risk factors'!B143))</f>
        <v>28.791991635785219</v>
      </c>
      <c r="DF230" s="257">
        <f t="shared" si="21"/>
        <v>28.819999996445123</v>
      </c>
    </row>
    <row r="231" spans="108:116" x14ac:dyDescent="0.25">
      <c r="DD231" s="261">
        <v>142</v>
      </c>
      <c r="DE231" s="256">
        <f>1+27.82/(1+EXP('Speed risk factors'!$I$3-'Speed risk factors'!$I$2*'Speed risk factors'!B144))</f>
        <v>28.794425627839345</v>
      </c>
      <c r="DF231" s="257">
        <f t="shared" si="21"/>
        <v>28.819999997131109</v>
      </c>
    </row>
    <row r="232" spans="108:116" x14ac:dyDescent="0.25">
      <c r="DD232" s="261">
        <v>143</v>
      </c>
      <c r="DE232" s="256">
        <f>1+27.82/(1+EXP('Speed risk factors'!$I$3-'Speed risk factors'!$I$2*'Speed risk factors'!B145))</f>
        <v>28.796648278043129</v>
      </c>
      <c r="DF232" s="257">
        <f t="shared" si="21"/>
        <v>28.819999997684725</v>
      </c>
    </row>
    <row r="233" spans="108:116" x14ac:dyDescent="0.25">
      <c r="DD233" s="261">
        <v>144</v>
      </c>
      <c r="DE233" s="256">
        <f>1+27.82/(1+EXP('Speed risk factors'!$I$3-'Speed risk factors'!$I$2*'Speed risk factors'!B146))</f>
        <v>28.798677907510601</v>
      </c>
      <c r="DF233" s="257">
        <f t="shared" si="21"/>
        <v>28.819999998131507</v>
      </c>
    </row>
    <row r="234" spans="108:116" x14ac:dyDescent="0.25">
      <c r="DD234" s="261">
        <v>145</v>
      </c>
      <c r="DE234" s="256">
        <f>1+27.82/(1+EXP('Speed risk factors'!$I$3-'Speed risk factors'!$I$2*'Speed risk factors'!B147))</f>
        <v>28.800531254022918</v>
      </c>
      <c r="DF234" s="257">
        <f t="shared" si="21"/>
        <v>28.819999998492076</v>
      </c>
      <c r="DL234" s="62"/>
    </row>
    <row r="235" spans="108:116" x14ac:dyDescent="0.25">
      <c r="DD235" s="261">
        <v>146</v>
      </c>
      <c r="DE235" s="256">
        <f>1+27.82/(1+EXP('Speed risk factors'!$I$3-'Speed risk factors'!$I$2*'Speed risk factors'!B148))</f>
        <v>28.802223608044059</v>
      </c>
      <c r="DF235" s="257">
        <f t="shared" si="21"/>
        <v>28.819999998783064</v>
      </c>
      <c r="DL235" s="62"/>
    </row>
    <row r="236" spans="108:116" x14ac:dyDescent="0.25">
      <c r="DD236" s="261">
        <v>147</v>
      </c>
      <c r="DE236" s="256">
        <f>1+27.82/(1+EXP('Speed risk factors'!$I$3-'Speed risk factors'!$I$2*'Speed risk factors'!B149))</f>
        <v>28.803768937188394</v>
      </c>
      <c r="DF236" s="257">
        <f t="shared" si="21"/>
        <v>28.819999999017899</v>
      </c>
      <c r="DL236" s="62"/>
    </row>
    <row r="237" spans="108:116" x14ac:dyDescent="0.25">
      <c r="DD237" s="261">
        <v>148</v>
      </c>
      <c r="DE237" s="256">
        <f>1+27.82/(1+EXP('Speed risk factors'!$I$3-'Speed risk factors'!$I$2*'Speed risk factors'!B150))</f>
        <v>28.805180000097927</v>
      </c>
      <c r="DF237" s="257">
        <f t="shared" si="21"/>
        <v>28.819999999207418</v>
      </c>
      <c r="DL237" s="62"/>
    </row>
    <row r="238" spans="108:116" x14ac:dyDescent="0.25">
      <c r="DD238" s="261">
        <v>149</v>
      </c>
      <c r="DE238" s="256">
        <f>1+27.82/(1+EXP('Speed risk factors'!$I$3-'Speed risk factors'!$I$2*'Speed risk factors'!B151))</f>
        <v>28.806468450611153</v>
      </c>
      <c r="DF238" s="257">
        <f t="shared" si="21"/>
        <v>28.819999999360363</v>
      </c>
      <c r="DL238" s="62"/>
    </row>
    <row r="239" spans="108:116" x14ac:dyDescent="0.25">
      <c r="DD239" s="262">
        <v>150</v>
      </c>
      <c r="DE239" s="258">
        <f>1+27.82/(1+EXP('Speed risk factors'!$I$3-'Speed risk factors'!$I$2*'Speed risk factors'!B152))</f>
        <v>28.807644933035419</v>
      </c>
      <c r="DF239" s="259">
        <f t="shared" si="21"/>
        <v>28.819999999483795</v>
      </c>
      <c r="DL239" s="62"/>
    </row>
    <row r="240" spans="108:116" x14ac:dyDescent="0.25">
      <c r="DD240" s="22"/>
      <c r="DL240" s="62"/>
    </row>
    <row r="241" spans="104:116" x14ac:dyDescent="0.25">
      <c r="DD241" s="22"/>
      <c r="DL241" s="62"/>
    </row>
    <row r="242" spans="104:116" x14ac:dyDescent="0.25">
      <c r="DD242" s="22"/>
      <c r="DL242" s="62"/>
    </row>
    <row r="243" spans="104:116" x14ac:dyDescent="0.25">
      <c r="DD243" s="22"/>
    </row>
    <row r="244" spans="104:116" ht="15.6" x14ac:dyDescent="0.3">
      <c r="DA244" s="251"/>
      <c r="DB244" s="251"/>
      <c r="DC244" s="251"/>
      <c r="DD244" s="251"/>
      <c r="DF244" s="114" t="s">
        <v>107</v>
      </c>
    </row>
    <row r="246" spans="104:116" ht="15.6" x14ac:dyDescent="0.3">
      <c r="CZ246" s="251"/>
      <c r="DA246" s="251"/>
      <c r="DB246" s="251"/>
      <c r="DC246" s="287" t="s">
        <v>243</v>
      </c>
      <c r="DD246" s="288" t="s">
        <v>49</v>
      </c>
      <c r="DE246" s="289">
        <f>O28</f>
        <v>2</v>
      </c>
      <c r="DF246" s="251"/>
    </row>
    <row r="247" spans="104:116" ht="15.6" x14ac:dyDescent="0.3">
      <c r="CZ247" s="251"/>
      <c r="DA247" s="251"/>
      <c r="DB247" s="251"/>
      <c r="DC247" s="290" t="s">
        <v>245</v>
      </c>
      <c r="DD247" s="291" t="s">
        <v>63</v>
      </c>
      <c r="DE247" s="260">
        <f>O33</f>
        <v>2</v>
      </c>
      <c r="DF247" s="251"/>
    </row>
    <row r="248" spans="104:116" ht="15.6" x14ac:dyDescent="0.25">
      <c r="CZ248" s="292" t="s">
        <v>150</v>
      </c>
      <c r="DA248" s="293" t="s">
        <v>220</v>
      </c>
      <c r="DB248" s="294">
        <f ca="1">OFFSET(DD249,MATCH(DE247,DC250:DC251,0),MATCH(DE246,DE248:DF248,0))</f>
        <v>2</v>
      </c>
      <c r="DC248" s="295"/>
      <c r="DD248" s="295"/>
      <c r="DE248" s="296">
        <v>1</v>
      </c>
      <c r="DF248" s="297">
        <v>2</v>
      </c>
    </row>
    <row r="249" spans="104:116" ht="15.6" x14ac:dyDescent="0.3">
      <c r="CZ249" s="298"/>
      <c r="DA249" s="251"/>
      <c r="DB249" s="251"/>
      <c r="DD249" s="114" t="s">
        <v>107</v>
      </c>
      <c r="DE249" s="48" t="s">
        <v>24</v>
      </c>
      <c r="DF249" s="299" t="s">
        <v>22</v>
      </c>
    </row>
    <row r="250" spans="104:116" x14ac:dyDescent="0.25">
      <c r="CZ250" s="300"/>
      <c r="DA250" s="47" t="s">
        <v>24</v>
      </c>
      <c r="DB250" s="47">
        <v>1</v>
      </c>
      <c r="DC250" s="48">
        <v>1</v>
      </c>
      <c r="DD250" s="48" t="s">
        <v>24</v>
      </c>
      <c r="DE250">
        <v>1</v>
      </c>
      <c r="DF250" s="301">
        <v>1</v>
      </c>
    </row>
    <row r="251" spans="104:116" x14ac:dyDescent="0.25">
      <c r="CZ251" s="302"/>
      <c r="DA251" s="264" t="s">
        <v>22</v>
      </c>
      <c r="DB251" s="264">
        <v>2</v>
      </c>
      <c r="DC251" s="303">
        <v>2</v>
      </c>
      <c r="DD251" s="303" t="s">
        <v>22</v>
      </c>
      <c r="DE251" s="304">
        <v>1</v>
      </c>
      <c r="DF251" s="305">
        <v>2</v>
      </c>
    </row>
    <row r="252" spans="104:116" x14ac:dyDescent="0.25">
      <c r="DC252" s="231"/>
      <c r="DD252" s="22"/>
    </row>
    <row r="254" spans="104:116" ht="15.6" x14ac:dyDescent="0.3">
      <c r="CZ254" s="251"/>
      <c r="DA254" s="251"/>
      <c r="DB254" s="251"/>
      <c r="DC254" s="306" t="s">
        <v>243</v>
      </c>
      <c r="DD254" s="293" t="s">
        <v>220</v>
      </c>
      <c r="DE254" s="253">
        <f ca="1">DB248</f>
        <v>2</v>
      </c>
      <c r="DF254" s="251"/>
    </row>
    <row r="255" spans="104:116" ht="15.6" x14ac:dyDescent="0.3">
      <c r="CZ255" s="251"/>
      <c r="DA255" s="251"/>
      <c r="DB255" s="251"/>
      <c r="DC255" s="307" t="s">
        <v>245</v>
      </c>
      <c r="DD255" s="4" t="s">
        <v>19</v>
      </c>
      <c r="DE255" s="253">
        <f>O17</f>
        <v>1</v>
      </c>
      <c r="DF255" s="251"/>
    </row>
    <row r="256" spans="104:116" ht="15.6" x14ac:dyDescent="0.25">
      <c r="CZ256" s="292" t="s">
        <v>150</v>
      </c>
      <c r="DA256" s="293" t="s">
        <v>222</v>
      </c>
      <c r="DB256" s="294">
        <f ca="1">OFFSET(DD257,MATCH(DE254,DC258:DC259,0),MATCH(DE255,DE256:DF256,0))</f>
        <v>1</v>
      </c>
      <c r="DC256" s="295"/>
      <c r="DD256" s="295"/>
      <c r="DE256" s="296">
        <v>1</v>
      </c>
      <c r="DF256" s="297">
        <v>2</v>
      </c>
    </row>
    <row r="257" spans="104:111" ht="15.6" x14ac:dyDescent="0.3">
      <c r="CZ257" s="298"/>
      <c r="DD257" s="114" t="s">
        <v>107</v>
      </c>
      <c r="DE257" s="48" t="s">
        <v>151</v>
      </c>
      <c r="DF257" s="299" t="s">
        <v>20</v>
      </c>
    </row>
    <row r="258" spans="104:111" x14ac:dyDescent="0.25">
      <c r="CZ258" s="300"/>
      <c r="DA258" s="47" t="s">
        <v>259</v>
      </c>
      <c r="DB258" s="47">
        <v>1</v>
      </c>
      <c r="DC258" s="48">
        <v>1</v>
      </c>
      <c r="DD258" s="48" t="s">
        <v>24</v>
      </c>
      <c r="DE258">
        <v>1</v>
      </c>
      <c r="DF258" s="301">
        <v>2</v>
      </c>
    </row>
    <row r="259" spans="104:111" x14ac:dyDescent="0.25">
      <c r="CZ259" s="300"/>
      <c r="DA259" s="47" t="s">
        <v>260</v>
      </c>
      <c r="DB259" s="47">
        <v>2</v>
      </c>
      <c r="DC259" s="48">
        <v>2</v>
      </c>
      <c r="DD259" s="48" t="s">
        <v>22</v>
      </c>
      <c r="DE259">
        <v>1</v>
      </c>
      <c r="DF259" s="301">
        <v>3</v>
      </c>
    </row>
    <row r="260" spans="104:111" x14ac:dyDescent="0.25">
      <c r="CZ260" s="302"/>
      <c r="DA260" s="264" t="s">
        <v>261</v>
      </c>
      <c r="DB260" s="264">
        <v>3</v>
      </c>
      <c r="DC260" s="308"/>
      <c r="DD260" s="309"/>
      <c r="DE260" s="304"/>
      <c r="DF260" s="305"/>
    </row>
    <row r="261" spans="104:111" x14ac:dyDescent="0.25">
      <c r="DC261" s="231"/>
      <c r="DD261" s="22"/>
    </row>
    <row r="262" spans="104:111" x14ac:dyDescent="0.25">
      <c r="DC262" s="231"/>
      <c r="DD262" s="22"/>
    </row>
    <row r="264" spans="104:111" ht="31.2" x14ac:dyDescent="0.25">
      <c r="DC264" s="306" t="s">
        <v>243</v>
      </c>
      <c r="DD264" s="293" t="s">
        <v>222</v>
      </c>
      <c r="DE264" s="253">
        <f ca="1">DB256</f>
        <v>1</v>
      </c>
    </row>
    <row r="265" spans="104:111" x14ac:dyDescent="0.25">
      <c r="DC265" s="307" t="s">
        <v>245</v>
      </c>
      <c r="DD265" s="4" t="s">
        <v>262</v>
      </c>
      <c r="DE265" s="253">
        <f>O16</f>
        <v>3</v>
      </c>
    </row>
    <row r="266" spans="104:111" ht="15.6" x14ac:dyDescent="0.25">
      <c r="CZ266" s="292" t="s">
        <v>150</v>
      </c>
      <c r="DA266" s="293" t="s">
        <v>203</v>
      </c>
      <c r="DB266" s="294">
        <f ca="1">OFFSET(DD267,MATCH(DE265,DC268:DC273,0),MATCH(DE264,DE266:DG266,0))</f>
        <v>3</v>
      </c>
      <c r="DC266" s="295"/>
      <c r="DD266" s="295"/>
      <c r="DE266" s="310">
        <v>1</v>
      </c>
      <c r="DF266" s="310">
        <v>2</v>
      </c>
      <c r="DG266" s="311">
        <v>3</v>
      </c>
    </row>
    <row r="267" spans="104:111" ht="15.6" x14ac:dyDescent="0.3">
      <c r="CZ267" s="298"/>
      <c r="DD267" s="114" t="s">
        <v>107</v>
      </c>
      <c r="DE267" s="47" t="s">
        <v>259</v>
      </c>
      <c r="DF267" s="47" t="s">
        <v>260</v>
      </c>
      <c r="DG267" s="263" t="s">
        <v>261</v>
      </c>
    </row>
    <row r="268" spans="104:111" x14ac:dyDescent="0.25">
      <c r="CZ268" s="300"/>
      <c r="DC268" s="48">
        <v>1</v>
      </c>
      <c r="DD268" s="48" t="s">
        <v>153</v>
      </c>
      <c r="DE268">
        <v>1</v>
      </c>
      <c r="DF268">
        <v>6</v>
      </c>
      <c r="DG268" s="301">
        <v>1</v>
      </c>
    </row>
    <row r="269" spans="104:111" x14ac:dyDescent="0.25">
      <c r="CZ269" s="300"/>
      <c r="DC269" s="48">
        <v>2</v>
      </c>
      <c r="DD269" s="48" t="s">
        <v>157</v>
      </c>
      <c r="DE269">
        <v>2</v>
      </c>
      <c r="DF269">
        <v>6</v>
      </c>
      <c r="DG269" s="301">
        <v>2</v>
      </c>
    </row>
    <row r="270" spans="104:111" x14ac:dyDescent="0.25">
      <c r="CZ270" s="300"/>
      <c r="DC270" s="48">
        <v>3</v>
      </c>
      <c r="DD270" s="48" t="s">
        <v>16</v>
      </c>
      <c r="DE270">
        <v>3</v>
      </c>
      <c r="DF270">
        <v>6</v>
      </c>
      <c r="DG270" s="301">
        <v>3</v>
      </c>
    </row>
    <row r="271" spans="104:111" x14ac:dyDescent="0.25">
      <c r="CZ271" s="300"/>
      <c r="DC271" s="48">
        <v>4</v>
      </c>
      <c r="DD271" s="48" t="s">
        <v>160</v>
      </c>
      <c r="DE271">
        <v>4</v>
      </c>
      <c r="DF271">
        <v>6</v>
      </c>
      <c r="DG271" s="301">
        <v>4</v>
      </c>
    </row>
    <row r="272" spans="104:111" x14ac:dyDescent="0.25">
      <c r="CZ272" s="300"/>
      <c r="DC272" s="48">
        <v>5</v>
      </c>
      <c r="DD272" s="48" t="s">
        <v>163</v>
      </c>
      <c r="DE272">
        <v>5</v>
      </c>
      <c r="DF272">
        <v>6</v>
      </c>
      <c r="DG272" s="301">
        <v>5</v>
      </c>
    </row>
    <row r="273" spans="104:111" x14ac:dyDescent="0.25">
      <c r="CZ273" s="302"/>
      <c r="DA273" s="304"/>
      <c r="DB273" s="304"/>
      <c r="DC273" s="303">
        <v>6</v>
      </c>
      <c r="DD273" s="303" t="s">
        <v>167</v>
      </c>
      <c r="DE273" s="304">
        <v>6</v>
      </c>
      <c r="DF273" s="304">
        <v>6</v>
      </c>
      <c r="DG273" s="305">
        <v>6</v>
      </c>
    </row>
    <row r="274" spans="104:111" x14ac:dyDescent="0.25">
      <c r="DC274" s="231"/>
      <c r="DD274" s="22"/>
    </row>
    <row r="275" spans="104:111" x14ac:dyDescent="0.25">
      <c r="DC275" s="231"/>
      <c r="DD275" s="22"/>
    </row>
    <row r="276" spans="104:111" x14ac:dyDescent="0.25">
      <c r="DC276" s="231"/>
      <c r="DD276" s="22"/>
    </row>
    <row r="277" spans="104:111" x14ac:dyDescent="0.25">
      <c r="DC277" s="231"/>
      <c r="DD277" s="22"/>
    </row>
    <row r="278" spans="104:111" x14ac:dyDescent="0.25">
      <c r="DC278" s="231"/>
      <c r="DD278" s="22"/>
    </row>
    <row r="279" spans="104:111" x14ac:dyDescent="0.25">
      <c r="DC279" s="231"/>
      <c r="DD279" s="22"/>
    </row>
    <row r="280" spans="104:111" x14ac:dyDescent="0.25">
      <c r="DC280" s="231"/>
      <c r="DD280" s="22"/>
    </row>
    <row r="281" spans="104:111" x14ac:dyDescent="0.25">
      <c r="DC281" s="231"/>
      <c r="DD281" s="22"/>
    </row>
    <row r="282" spans="104:111" x14ac:dyDescent="0.25">
      <c r="DC282" s="231"/>
      <c r="DD282" s="22"/>
    </row>
    <row r="283" spans="104:111" x14ac:dyDescent="0.25">
      <c r="DC283" s="231"/>
      <c r="DD283" s="22"/>
    </row>
    <row r="284" spans="104:111" x14ac:dyDescent="0.25">
      <c r="DC284" s="231"/>
      <c r="DD284" s="22"/>
    </row>
    <row r="285" spans="104:111" x14ac:dyDescent="0.25">
      <c r="DC285" s="231"/>
      <c r="DD285" s="22"/>
    </row>
    <row r="286" spans="104:111" x14ac:dyDescent="0.25">
      <c r="DC286" s="231"/>
      <c r="DD286" s="22"/>
    </row>
    <row r="287" spans="104:111" x14ac:dyDescent="0.25">
      <c r="DC287" s="231"/>
      <c r="DD287" s="22"/>
    </row>
    <row r="288" spans="104:111" x14ac:dyDescent="0.25">
      <c r="DC288" s="231"/>
      <c r="DD288" s="22"/>
    </row>
    <row r="289" spans="107:108" x14ac:dyDescent="0.25">
      <c r="DC289" s="231"/>
      <c r="DD289" s="22"/>
    </row>
    <row r="290" spans="107:108" x14ac:dyDescent="0.25">
      <c r="DC290" s="231"/>
      <c r="DD290" s="22"/>
    </row>
    <row r="291" spans="107:108" x14ac:dyDescent="0.25">
      <c r="DC291" s="231"/>
      <c r="DD291" s="22"/>
    </row>
    <row r="292" spans="107:108" x14ac:dyDescent="0.25">
      <c r="DC292" s="231"/>
      <c r="DD292" s="22"/>
    </row>
    <row r="293" spans="107:108" x14ac:dyDescent="0.25">
      <c r="DC293" s="231"/>
      <c r="DD293" s="22"/>
    </row>
    <row r="294" spans="107:108" x14ac:dyDescent="0.25">
      <c r="DC294" s="231"/>
      <c r="DD294" s="22"/>
    </row>
    <row r="295" spans="107:108" x14ac:dyDescent="0.25">
      <c r="DC295" s="231"/>
      <c r="DD295" s="22"/>
    </row>
    <row r="296" spans="107:108" x14ac:dyDescent="0.25">
      <c r="DC296" s="231"/>
      <c r="DD296" s="22"/>
    </row>
    <row r="297" spans="107:108" x14ac:dyDescent="0.25">
      <c r="DC297" s="231"/>
      <c r="DD297" s="22"/>
    </row>
    <row r="298" spans="107:108" x14ac:dyDescent="0.25">
      <c r="DC298" s="231"/>
      <c r="DD298" s="22"/>
    </row>
    <row r="299" spans="107:108" x14ac:dyDescent="0.25">
      <c r="DC299" s="231"/>
      <c r="DD299" s="22"/>
    </row>
    <row r="300" spans="107:108" x14ac:dyDescent="0.25">
      <c r="DC300" s="231"/>
      <c r="DD300" s="22"/>
    </row>
    <row r="301" spans="107:108" x14ac:dyDescent="0.25">
      <c r="DC301" s="231"/>
      <c r="DD301" s="22"/>
    </row>
    <row r="302" spans="107:108" x14ac:dyDescent="0.25">
      <c r="DC302" s="231"/>
      <c r="DD302" s="22"/>
    </row>
    <row r="303" spans="107:108" x14ac:dyDescent="0.25">
      <c r="DC303" s="231"/>
      <c r="DD303" s="22"/>
    </row>
    <row r="304" spans="107:108" x14ac:dyDescent="0.25">
      <c r="DC304" s="231"/>
      <c r="DD304" s="22"/>
    </row>
    <row r="305" spans="107:108" x14ac:dyDescent="0.25">
      <c r="DC305" s="231"/>
      <c r="DD305" s="22"/>
    </row>
    <row r="306" spans="107:108" x14ac:dyDescent="0.25">
      <c r="DC306" s="231"/>
      <c r="DD306" s="22"/>
    </row>
    <row r="307" spans="107:108" x14ac:dyDescent="0.25">
      <c r="DC307" s="231"/>
      <c r="DD307" s="22"/>
    </row>
    <row r="308" spans="107:108" x14ac:dyDescent="0.25">
      <c r="DC308" s="231"/>
      <c r="DD308" s="22"/>
    </row>
    <row r="309" spans="107:108" x14ac:dyDescent="0.25">
      <c r="DC309" s="231"/>
      <c r="DD309" s="22"/>
    </row>
    <row r="310" spans="107:108" x14ac:dyDescent="0.25">
      <c r="DC310" s="231"/>
      <c r="DD310" s="22"/>
    </row>
    <row r="311" spans="107:108" x14ac:dyDescent="0.25">
      <c r="DC311" s="231"/>
      <c r="DD311" s="22"/>
    </row>
    <row r="312" spans="107:108" x14ac:dyDescent="0.25">
      <c r="DC312" s="231"/>
      <c r="DD312" s="22"/>
    </row>
    <row r="313" spans="107:108" x14ac:dyDescent="0.25">
      <c r="DC313" s="231"/>
      <c r="DD313" s="22"/>
    </row>
    <row r="314" spans="107:108" x14ac:dyDescent="0.25">
      <c r="DC314" s="231"/>
      <c r="DD314" s="22"/>
    </row>
    <row r="315" spans="107:108" x14ac:dyDescent="0.25">
      <c r="DC315" s="231"/>
      <c r="DD315" s="22"/>
    </row>
    <row r="316" spans="107:108" x14ac:dyDescent="0.25">
      <c r="DC316" s="231"/>
      <c r="DD316" s="22"/>
    </row>
    <row r="317" spans="107:108" x14ac:dyDescent="0.25">
      <c r="DC317" s="231"/>
      <c r="DD317" s="22"/>
    </row>
    <row r="318" spans="107:108" x14ac:dyDescent="0.25">
      <c r="DC318" s="231"/>
      <c r="DD318" s="22"/>
    </row>
    <row r="319" spans="107:108" x14ac:dyDescent="0.25">
      <c r="DC319" s="231"/>
      <c r="DD319" s="22"/>
    </row>
    <row r="320" spans="107:108" x14ac:dyDescent="0.25">
      <c r="DC320" s="231"/>
      <c r="DD320" s="22"/>
    </row>
    <row r="321" spans="107:111" x14ac:dyDescent="0.25">
      <c r="DC321" s="231"/>
      <c r="DD321" s="22"/>
      <c r="DG321" s="62"/>
    </row>
    <row r="322" spans="107:111" x14ac:dyDescent="0.25">
      <c r="DC322" s="231"/>
      <c r="DD322" s="22"/>
    </row>
    <row r="323" spans="107:111" x14ac:dyDescent="0.25">
      <c r="DC323" s="231"/>
      <c r="DD323" s="22"/>
    </row>
    <row r="324" spans="107:111" x14ac:dyDescent="0.25">
      <c r="DC324" s="231"/>
      <c r="DD324" s="22"/>
    </row>
    <row r="325" spans="107:111" x14ac:dyDescent="0.25">
      <c r="DC325" s="231"/>
      <c r="DD325" s="22"/>
    </row>
    <row r="326" spans="107:111" x14ac:dyDescent="0.25">
      <c r="DC326" s="231"/>
      <c r="DD326" s="22"/>
    </row>
    <row r="327" spans="107:111" x14ac:dyDescent="0.25">
      <c r="DC327" s="231"/>
      <c r="DD327" s="22"/>
    </row>
    <row r="328" spans="107:111" x14ac:dyDescent="0.25">
      <c r="DC328" s="231"/>
      <c r="DD328" s="22"/>
    </row>
    <row r="329" spans="107:111" x14ac:dyDescent="0.25">
      <c r="DC329" s="231"/>
      <c r="DD329" s="22"/>
    </row>
    <row r="330" spans="107:111" x14ac:dyDescent="0.25">
      <c r="DC330" s="231"/>
      <c r="DD330" s="62"/>
      <c r="DE330" s="62"/>
    </row>
    <row r="331" spans="107:111" x14ac:dyDescent="0.25">
      <c r="DC331" s="231"/>
      <c r="DD331" s="22"/>
    </row>
    <row r="332" spans="107:111" x14ac:dyDescent="0.25">
      <c r="DC332" s="231"/>
      <c r="DD332" s="22"/>
    </row>
    <row r="333" spans="107:111" x14ac:dyDescent="0.25">
      <c r="DC333" s="231"/>
      <c r="DD333" s="22"/>
    </row>
    <row r="334" spans="107:111" x14ac:dyDescent="0.25">
      <c r="DC334" s="231"/>
      <c r="DD334" s="22"/>
    </row>
    <row r="335" spans="107:111" x14ac:dyDescent="0.25">
      <c r="DC335" s="231"/>
      <c r="DD335" s="22"/>
    </row>
    <row r="336" spans="107:111" x14ac:dyDescent="0.25">
      <c r="DC336" s="231"/>
      <c r="DD336" s="22"/>
    </row>
    <row r="337" spans="107:108" x14ac:dyDescent="0.25">
      <c r="DC337" s="231"/>
      <c r="DD337" s="22"/>
    </row>
    <row r="338" spans="107:108" x14ac:dyDescent="0.25">
      <c r="DC338" s="62"/>
      <c r="DD338" s="22"/>
    </row>
    <row r="339" spans="107:108" x14ac:dyDescent="0.25">
      <c r="DD339" s="22"/>
    </row>
    <row r="340" spans="107:108" x14ac:dyDescent="0.25">
      <c r="DD340" s="22"/>
    </row>
    <row r="341" spans="107:108" x14ac:dyDescent="0.25">
      <c r="DD341" s="22"/>
    </row>
    <row r="342" spans="107:108" x14ac:dyDescent="0.25">
      <c r="DD342" s="22"/>
    </row>
    <row r="343" spans="107:108" x14ac:dyDescent="0.25">
      <c r="DD343" s="22"/>
    </row>
    <row r="344" spans="107:108" x14ac:dyDescent="0.25">
      <c r="DD344" s="22"/>
    </row>
    <row r="345" spans="107:108" x14ac:dyDescent="0.25">
      <c r="DD345" s="22"/>
    </row>
    <row r="346" spans="107:108" x14ac:dyDescent="0.25">
      <c r="DD346" s="22"/>
    </row>
    <row r="347" spans="107:108" x14ac:dyDescent="0.25">
      <c r="DD347" s="22"/>
    </row>
    <row r="348" spans="107:108" x14ac:dyDescent="0.25">
      <c r="DD348" s="22"/>
    </row>
    <row r="349" spans="107:108" x14ac:dyDescent="0.25">
      <c r="DD349" s="22"/>
    </row>
    <row r="350" spans="107:108" x14ac:dyDescent="0.25">
      <c r="DD350" s="22"/>
    </row>
    <row r="351" spans="107:108" x14ac:dyDescent="0.25">
      <c r="DD351" s="22"/>
    </row>
    <row r="352" spans="107:108" x14ac:dyDescent="0.25">
      <c r="DD352" s="22"/>
    </row>
    <row r="353" spans="108:108" x14ac:dyDescent="0.25">
      <c r="DD353" s="22"/>
    </row>
    <row r="354" spans="108:108" x14ac:dyDescent="0.25">
      <c r="DD354" s="22"/>
    </row>
    <row r="355" spans="108:108" x14ac:dyDescent="0.25">
      <c r="DD355" s="22"/>
    </row>
    <row r="356" spans="108:108" x14ac:dyDescent="0.25">
      <c r="DD356" s="22"/>
    </row>
    <row r="357" spans="108:108" x14ac:dyDescent="0.25">
      <c r="DD357" s="22"/>
    </row>
    <row r="358" spans="108:108" x14ac:dyDescent="0.25">
      <c r="DD358" s="22"/>
    </row>
    <row r="359" spans="108:108" x14ac:dyDescent="0.25">
      <c r="DD359" s="22"/>
    </row>
    <row r="360" spans="108:108" x14ac:dyDescent="0.25">
      <c r="DD360" s="22"/>
    </row>
    <row r="361" spans="108:108" x14ac:dyDescent="0.25">
      <c r="DD361" s="22"/>
    </row>
    <row r="362" spans="108:108" x14ac:dyDescent="0.25">
      <c r="DD362" s="22"/>
    </row>
    <row r="363" spans="108:108" x14ac:dyDescent="0.25">
      <c r="DD363" s="22"/>
    </row>
    <row r="364" spans="108:108" x14ac:dyDescent="0.25">
      <c r="DD364" s="22"/>
    </row>
    <row r="365" spans="108:108" x14ac:dyDescent="0.25">
      <c r="DD365" s="22"/>
    </row>
    <row r="366" spans="108:108" x14ac:dyDescent="0.25">
      <c r="DD366" s="22"/>
    </row>
    <row r="367" spans="108:108" x14ac:dyDescent="0.25">
      <c r="DD367" s="22"/>
    </row>
    <row r="368" spans="108:108" x14ac:dyDescent="0.25">
      <c r="DD368" s="22"/>
    </row>
    <row r="369" spans="108:108" x14ac:dyDescent="0.25">
      <c r="DD369" s="22"/>
    </row>
    <row r="370" spans="108:108" x14ac:dyDescent="0.25">
      <c r="DD370" s="22"/>
    </row>
    <row r="371" spans="108:108" x14ac:dyDescent="0.25">
      <c r="DD371" s="22"/>
    </row>
    <row r="372" spans="108:108" x14ac:dyDescent="0.25">
      <c r="DD372" s="22"/>
    </row>
    <row r="373" spans="108:108" x14ac:dyDescent="0.25">
      <c r="DD373" s="22"/>
    </row>
    <row r="374" spans="108:108" x14ac:dyDescent="0.25">
      <c r="DD374" s="22"/>
    </row>
    <row r="375" spans="108:108" x14ac:dyDescent="0.25">
      <c r="DD375" s="22"/>
    </row>
    <row r="376" spans="108:108" x14ac:dyDescent="0.25">
      <c r="DD376" s="22"/>
    </row>
    <row r="377" spans="108:108" x14ac:dyDescent="0.25">
      <c r="DD377" s="22"/>
    </row>
    <row r="378" spans="108:108" x14ac:dyDescent="0.25">
      <c r="DD378" s="22"/>
    </row>
    <row r="379" spans="108:108" x14ac:dyDescent="0.25">
      <c r="DD379" s="22"/>
    </row>
    <row r="380" spans="108:108" x14ac:dyDescent="0.25">
      <c r="DD380" s="22"/>
    </row>
    <row r="381" spans="108:108" x14ac:dyDescent="0.25">
      <c r="DD381" s="22"/>
    </row>
    <row r="382" spans="108:108" x14ac:dyDescent="0.25">
      <c r="DD382" s="22"/>
    </row>
    <row r="383" spans="108:108" x14ac:dyDescent="0.25">
      <c r="DD383" s="22"/>
    </row>
    <row r="384" spans="108:108" x14ac:dyDescent="0.25">
      <c r="DD384" s="22"/>
    </row>
    <row r="385" spans="108:108" x14ac:dyDescent="0.25">
      <c r="DD385" s="22"/>
    </row>
    <row r="386" spans="108:108" x14ac:dyDescent="0.25">
      <c r="DD386" s="22"/>
    </row>
    <row r="387" spans="108:108" x14ac:dyDescent="0.25">
      <c r="DD387" s="22"/>
    </row>
    <row r="388" spans="108:108" x14ac:dyDescent="0.25">
      <c r="DD388" s="22"/>
    </row>
    <row r="389" spans="108:108" x14ac:dyDescent="0.25">
      <c r="DD389" s="22"/>
    </row>
  </sheetData>
  <sheetProtection algorithmName="SHA-512" hashValue="P8B3hF5O3GWb0Wv4q2i9vMmB31RQf18Dur8xHh3Nk58ZxapBSADP9FSSqUK+JEtcbOMWG8zQwCLe9/cd5rCfUA==" saltValue="cVILxubNL2Gp7vV7caKuEA==" spinCount="100000" sheet="1" objects="1" scenarios="1"/>
  <mergeCells count="12">
    <mergeCell ref="DG88:DG89"/>
    <mergeCell ref="CZ84:DF84"/>
    <mergeCell ref="DM3:DM8"/>
    <mergeCell ref="DH3:DH13"/>
    <mergeCell ref="DH38:DH39"/>
    <mergeCell ref="DH32:DH33"/>
    <mergeCell ref="DI32:DI33"/>
    <mergeCell ref="DJ32:DK32"/>
    <mergeCell ref="DH34:DH35"/>
    <mergeCell ref="DH36:DH37"/>
    <mergeCell ref="DI36:DI37"/>
    <mergeCell ref="DJ36:DK36"/>
  </mergeCells>
  <conditionalFormatting sqref="BU4 BU27 BR4 BU9 BU17">
    <cfRule type="containsText" dxfId="34" priority="1" operator="containsText" text="Extreme">
      <formula>NOT(ISERROR(SEARCH("Extreme",BR4)))</formula>
    </cfRule>
    <cfRule type="containsText" dxfId="33" priority="2" operator="containsText" text="High">
      <formula>NOT(ISERROR(SEARCH("High",BR4)))</formula>
    </cfRule>
    <cfRule type="containsText" dxfId="32" priority="3" operator="containsText" text="Medium">
      <formula>NOT(ISERROR(SEARCH("Medium",BR4)))</formula>
    </cfRule>
    <cfRule type="containsText" dxfId="31" priority="4" operator="containsText" text="Low">
      <formula>NOT(ISERROR(SEARCH("Low",BR4)))</formula>
    </cfRule>
  </conditionalFormatting>
  <pageMargins left="0.7" right="0.7" top="0.75" bottom="0.75" header="0.3" footer="0.3"/>
  <pageSetup paperSize="9" orientation="portrait" horizontalDpi="4294967295" verticalDpi="4294967295"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45678-DCCE-2A41-BF43-E90ABAAB898A}">
  <sheetPr codeName="Sheet10"/>
  <dimension ref="A1:U20"/>
  <sheetViews>
    <sheetView workbookViewId="0">
      <selection activeCell="A23" sqref="A23:XFD36"/>
    </sheetView>
  </sheetViews>
  <sheetFormatPr defaultColWidth="12" defaultRowHeight="12" x14ac:dyDescent="0.25"/>
  <cols>
    <col min="2" max="2" width="12.42578125" bestFit="1" customWidth="1"/>
    <col min="4" max="4" width="26" customWidth="1"/>
    <col min="9" max="9" width="34.140625" customWidth="1"/>
    <col min="14" max="14" width="19.85546875" bestFit="1" customWidth="1"/>
    <col min="21" max="21" width="12.5703125" bestFit="1" customWidth="1"/>
  </cols>
  <sheetData>
    <row r="1" spans="1:21" ht="49.2" x14ac:dyDescent="0.25">
      <c r="A1" t="s">
        <v>380</v>
      </c>
      <c r="B1" t="s">
        <v>263</v>
      </c>
      <c r="C1" s="137" t="s">
        <v>264</v>
      </c>
      <c r="D1" s="141" t="s">
        <v>265</v>
      </c>
      <c r="E1" s="141" t="s">
        <v>266</v>
      </c>
      <c r="F1" s="141" t="s">
        <v>267</v>
      </c>
      <c r="G1" s="141" t="s">
        <v>268</v>
      </c>
      <c r="H1" s="137" t="s">
        <v>269</v>
      </c>
      <c r="I1" s="141" t="s">
        <v>270</v>
      </c>
      <c r="J1" s="141" t="s">
        <v>271</v>
      </c>
      <c r="K1" s="141" t="s">
        <v>272</v>
      </c>
      <c r="L1" s="141"/>
      <c r="M1" s="137"/>
      <c r="N1" s="141"/>
      <c r="O1" s="141"/>
      <c r="P1" s="141"/>
      <c r="Q1" s="141"/>
      <c r="R1" s="137"/>
      <c r="S1" s="141"/>
      <c r="T1" s="141"/>
      <c r="U1" s="141"/>
    </row>
    <row r="2" spans="1:21" x14ac:dyDescent="0.25">
      <c r="A2">
        <v>1</v>
      </c>
      <c r="B2" t="s">
        <v>273</v>
      </c>
      <c r="C2" s="99">
        <v>26</v>
      </c>
      <c r="D2" s="99" t="s">
        <v>49</v>
      </c>
      <c r="E2" s="28">
        <v>1</v>
      </c>
      <c r="F2" s="28" t="s">
        <v>24</v>
      </c>
      <c r="G2" t="s">
        <v>274</v>
      </c>
      <c r="H2" s="99">
        <v>52</v>
      </c>
      <c r="I2" s="99" t="s">
        <v>58</v>
      </c>
      <c r="J2" s="28">
        <v>0</v>
      </c>
      <c r="K2" s="28" t="s">
        <v>275</v>
      </c>
    </row>
    <row r="3" spans="1:21" x14ac:dyDescent="0.25">
      <c r="A3">
        <v>2</v>
      </c>
      <c r="B3" t="s">
        <v>273</v>
      </c>
      <c r="C3" s="99">
        <v>26</v>
      </c>
      <c r="D3" s="99" t="s">
        <v>49</v>
      </c>
      <c r="E3" s="28">
        <v>1</v>
      </c>
      <c r="F3" s="28" t="s">
        <v>24</v>
      </c>
      <c r="G3" t="s">
        <v>274</v>
      </c>
      <c r="H3" s="99">
        <v>55</v>
      </c>
      <c r="I3" s="99" t="s">
        <v>67</v>
      </c>
      <c r="J3" s="28">
        <v>0</v>
      </c>
      <c r="K3" s="28" t="s">
        <v>275</v>
      </c>
    </row>
    <row r="4" spans="1:21" x14ac:dyDescent="0.25">
      <c r="A4">
        <v>3</v>
      </c>
      <c r="B4" t="s">
        <v>273</v>
      </c>
      <c r="C4" s="99">
        <v>31</v>
      </c>
      <c r="D4" s="99" t="s">
        <v>63</v>
      </c>
      <c r="E4" s="28">
        <v>1</v>
      </c>
      <c r="F4" s="28" t="s">
        <v>24</v>
      </c>
      <c r="G4" t="s">
        <v>274</v>
      </c>
      <c r="H4" s="99">
        <v>52</v>
      </c>
      <c r="I4" s="99" t="s">
        <v>58</v>
      </c>
      <c r="J4" s="28">
        <v>0</v>
      </c>
      <c r="K4" s="28" t="s">
        <v>275</v>
      </c>
    </row>
    <row r="5" spans="1:21" x14ac:dyDescent="0.25">
      <c r="A5">
        <v>4</v>
      </c>
      <c r="B5" t="s">
        <v>273</v>
      </c>
      <c r="C5" s="99">
        <v>31</v>
      </c>
      <c r="D5" s="99" t="s">
        <v>63</v>
      </c>
      <c r="E5" s="28">
        <v>1</v>
      </c>
      <c r="F5" s="28" t="s">
        <v>24</v>
      </c>
      <c r="G5" t="s">
        <v>274</v>
      </c>
      <c r="H5" s="99">
        <v>55</v>
      </c>
      <c r="I5" s="99" t="s">
        <v>67</v>
      </c>
      <c r="J5" s="28">
        <v>0</v>
      </c>
      <c r="K5" s="28" t="s">
        <v>275</v>
      </c>
    </row>
    <row r="6" spans="1:21" x14ac:dyDescent="0.25">
      <c r="A6">
        <v>5</v>
      </c>
      <c r="B6" t="s">
        <v>273</v>
      </c>
      <c r="C6" s="99">
        <v>42</v>
      </c>
      <c r="D6" s="99" t="s">
        <v>32</v>
      </c>
      <c r="E6" s="28">
        <v>1</v>
      </c>
      <c r="F6" s="28" t="s">
        <v>24</v>
      </c>
      <c r="G6" t="s">
        <v>274</v>
      </c>
      <c r="H6" s="99">
        <v>52</v>
      </c>
      <c r="I6" s="99" t="s">
        <v>58</v>
      </c>
      <c r="J6" s="28">
        <v>0</v>
      </c>
      <c r="K6" s="28" t="s">
        <v>275</v>
      </c>
    </row>
    <row r="7" spans="1:21" x14ac:dyDescent="0.25">
      <c r="A7">
        <v>6</v>
      </c>
      <c r="B7" t="s">
        <v>273</v>
      </c>
      <c r="C7" s="99">
        <v>42</v>
      </c>
      <c r="D7" s="99" t="s">
        <v>32</v>
      </c>
      <c r="E7" s="28">
        <v>1</v>
      </c>
      <c r="F7" s="28" t="s">
        <v>24</v>
      </c>
      <c r="G7" t="s">
        <v>274</v>
      </c>
      <c r="H7" s="99">
        <v>55</v>
      </c>
      <c r="I7" s="99" t="s">
        <v>67</v>
      </c>
      <c r="J7" s="28">
        <v>0</v>
      </c>
      <c r="K7" s="28" t="s">
        <v>275</v>
      </c>
    </row>
    <row r="8" spans="1:21" x14ac:dyDescent="0.25">
      <c r="A8">
        <v>7</v>
      </c>
      <c r="B8" t="s">
        <v>273</v>
      </c>
      <c r="C8" s="99">
        <v>14</v>
      </c>
      <c r="D8" s="99" t="s">
        <v>15</v>
      </c>
      <c r="E8" s="28">
        <v>6</v>
      </c>
      <c r="F8" s="28" t="s">
        <v>167</v>
      </c>
      <c r="G8" t="s">
        <v>274</v>
      </c>
      <c r="H8" s="99">
        <v>52</v>
      </c>
      <c r="I8" s="99" t="s">
        <v>58</v>
      </c>
      <c r="J8" s="28">
        <v>0</v>
      </c>
      <c r="K8" s="28" t="s">
        <v>275</v>
      </c>
    </row>
    <row r="9" spans="1:21" x14ac:dyDescent="0.25">
      <c r="A9">
        <v>8</v>
      </c>
      <c r="B9" t="s">
        <v>273</v>
      </c>
      <c r="C9" s="99">
        <v>14</v>
      </c>
      <c r="D9" s="99" t="s">
        <v>15</v>
      </c>
      <c r="E9" s="28">
        <v>6</v>
      </c>
      <c r="F9" s="28" t="s">
        <v>167</v>
      </c>
      <c r="G9" t="s">
        <v>274</v>
      </c>
      <c r="H9" s="99">
        <v>55</v>
      </c>
      <c r="I9" s="99" t="s">
        <v>67</v>
      </c>
      <c r="J9" s="28">
        <v>0</v>
      </c>
      <c r="K9" s="28" t="s">
        <v>275</v>
      </c>
    </row>
    <row r="10" spans="1:21" x14ac:dyDescent="0.25">
      <c r="A10">
        <v>9</v>
      </c>
      <c r="B10" t="s">
        <v>273</v>
      </c>
      <c r="C10" s="99">
        <v>14</v>
      </c>
      <c r="D10" s="99" t="s">
        <v>15</v>
      </c>
      <c r="E10" s="28">
        <v>4</v>
      </c>
      <c r="F10" s="28" t="s">
        <v>160</v>
      </c>
      <c r="G10" t="s">
        <v>274</v>
      </c>
      <c r="H10" s="99">
        <v>26</v>
      </c>
      <c r="I10" s="99" t="s">
        <v>49</v>
      </c>
      <c r="J10" s="28">
        <v>2</v>
      </c>
      <c r="K10" s="28" t="s">
        <v>276</v>
      </c>
    </row>
    <row r="11" spans="1:21" x14ac:dyDescent="0.25">
      <c r="A11">
        <v>10</v>
      </c>
      <c r="B11" t="s">
        <v>273</v>
      </c>
      <c r="C11" s="99">
        <v>14</v>
      </c>
      <c r="D11" s="99" t="s">
        <v>15</v>
      </c>
      <c r="E11" s="28">
        <v>5</v>
      </c>
      <c r="F11" s="28" t="s">
        <v>163</v>
      </c>
      <c r="G11" t="s">
        <v>274</v>
      </c>
      <c r="H11" s="99">
        <v>26</v>
      </c>
      <c r="I11" s="99" t="s">
        <v>49</v>
      </c>
      <c r="J11" s="28">
        <v>2</v>
      </c>
      <c r="K11" s="28" t="s">
        <v>276</v>
      </c>
    </row>
    <row r="12" spans="1:21" x14ac:dyDescent="0.25">
      <c r="A12">
        <v>11</v>
      </c>
      <c r="B12" t="s">
        <v>273</v>
      </c>
      <c r="C12" s="99">
        <v>42</v>
      </c>
      <c r="D12" s="99" t="s">
        <v>32</v>
      </c>
      <c r="E12" s="28">
        <v>1</v>
      </c>
      <c r="F12" s="28" t="s">
        <v>387</v>
      </c>
      <c r="G12" t="s">
        <v>274</v>
      </c>
      <c r="H12" s="99">
        <v>41</v>
      </c>
      <c r="I12" s="99" t="s">
        <v>29</v>
      </c>
      <c r="J12" s="28">
        <v>1</v>
      </c>
      <c r="K12" s="28" t="s">
        <v>30</v>
      </c>
    </row>
    <row r="13" spans="1:21" x14ac:dyDescent="0.25">
      <c r="A13">
        <v>12</v>
      </c>
      <c r="B13" t="s">
        <v>273</v>
      </c>
      <c r="C13" s="99">
        <v>42</v>
      </c>
      <c r="D13" s="99" t="s">
        <v>32</v>
      </c>
      <c r="E13" s="28">
        <v>1</v>
      </c>
      <c r="F13" s="28" t="s">
        <v>387</v>
      </c>
      <c r="G13" t="s">
        <v>274</v>
      </c>
      <c r="H13" s="99">
        <v>45</v>
      </c>
      <c r="I13" s="99" t="s">
        <v>39</v>
      </c>
      <c r="J13" s="28">
        <v>2</v>
      </c>
      <c r="K13" s="28" t="s">
        <v>37</v>
      </c>
    </row>
    <row r="14" spans="1:21" x14ac:dyDescent="0.25">
      <c r="A14">
        <v>13</v>
      </c>
      <c r="B14" t="s">
        <v>273</v>
      </c>
      <c r="C14" s="99">
        <v>14</v>
      </c>
      <c r="D14" s="99" t="s">
        <v>15</v>
      </c>
      <c r="E14" s="28">
        <v>6</v>
      </c>
      <c r="F14" s="28" t="s">
        <v>167</v>
      </c>
      <c r="G14" t="s">
        <v>274</v>
      </c>
      <c r="H14" s="99">
        <v>21</v>
      </c>
      <c r="I14" s="99" t="s">
        <v>35</v>
      </c>
      <c r="J14" s="28">
        <v>1</v>
      </c>
      <c r="K14" s="28" t="s">
        <v>24</v>
      </c>
    </row>
    <row r="15" spans="1:21" ht="20.399999999999999" x14ac:dyDescent="0.25">
      <c r="A15">
        <v>14</v>
      </c>
      <c r="B15" t="s">
        <v>277</v>
      </c>
      <c r="C15" s="99">
        <v>14</v>
      </c>
      <c r="D15" s="99" t="s">
        <v>15</v>
      </c>
      <c r="E15" s="28">
        <v>1</v>
      </c>
      <c r="F15" s="28" t="s">
        <v>153</v>
      </c>
      <c r="G15" t="s">
        <v>274</v>
      </c>
      <c r="H15" s="99">
        <v>47</v>
      </c>
      <c r="I15" s="99" t="s">
        <v>45</v>
      </c>
      <c r="J15" s="28">
        <v>1</v>
      </c>
      <c r="K15" s="28" t="s">
        <v>228</v>
      </c>
    </row>
    <row r="16" spans="1:21" ht="20.399999999999999" x14ac:dyDescent="0.25">
      <c r="A16">
        <v>15</v>
      </c>
      <c r="B16" t="s">
        <v>277</v>
      </c>
      <c r="C16" s="99">
        <v>14</v>
      </c>
      <c r="D16" s="99" t="s">
        <v>15</v>
      </c>
      <c r="E16" s="28">
        <v>2</v>
      </c>
      <c r="F16" s="28" t="s">
        <v>157</v>
      </c>
      <c r="G16" t="s">
        <v>274</v>
      </c>
      <c r="H16" s="99">
        <v>47</v>
      </c>
      <c r="I16" s="99" t="s">
        <v>45</v>
      </c>
      <c r="J16" s="28">
        <v>1</v>
      </c>
      <c r="K16" s="28" t="s">
        <v>228</v>
      </c>
    </row>
    <row r="17" spans="1:11" ht="20.399999999999999" x14ac:dyDescent="0.25">
      <c r="A17">
        <v>16</v>
      </c>
      <c r="B17" t="s">
        <v>277</v>
      </c>
      <c r="C17" s="99">
        <v>39</v>
      </c>
      <c r="D17" s="99" t="s">
        <v>25</v>
      </c>
      <c r="E17" s="28">
        <v>1</v>
      </c>
      <c r="F17" s="28" t="s">
        <v>24</v>
      </c>
      <c r="G17" t="s">
        <v>274</v>
      </c>
      <c r="H17" s="99">
        <v>47</v>
      </c>
      <c r="I17" s="99" t="s">
        <v>45</v>
      </c>
      <c r="J17" s="28">
        <v>1</v>
      </c>
      <c r="K17" s="28" t="s">
        <v>228</v>
      </c>
    </row>
    <row r="18" spans="1:11" ht="20.399999999999999" x14ac:dyDescent="0.25">
      <c r="A18">
        <v>17</v>
      </c>
      <c r="B18" t="s">
        <v>277</v>
      </c>
      <c r="C18" s="99">
        <v>30</v>
      </c>
      <c r="D18" s="99" t="s">
        <v>61</v>
      </c>
      <c r="E18" s="28">
        <v>1</v>
      </c>
      <c r="F18" s="28" t="s">
        <v>24</v>
      </c>
      <c r="G18" t="s">
        <v>274</v>
      </c>
      <c r="H18" s="99">
        <v>47</v>
      </c>
      <c r="I18" s="99" t="s">
        <v>45</v>
      </c>
      <c r="J18" s="28">
        <v>1</v>
      </c>
      <c r="K18" s="28" t="s">
        <v>228</v>
      </c>
    </row>
    <row r="19" spans="1:11" ht="20.399999999999999" x14ac:dyDescent="0.25">
      <c r="A19">
        <v>18</v>
      </c>
      <c r="B19" t="s">
        <v>277</v>
      </c>
      <c r="C19" s="99">
        <v>35</v>
      </c>
      <c r="D19" s="99" t="s">
        <v>72</v>
      </c>
      <c r="E19" s="28">
        <v>1</v>
      </c>
      <c r="F19" s="28" t="s">
        <v>24</v>
      </c>
      <c r="G19" t="s">
        <v>274</v>
      </c>
      <c r="H19" s="99">
        <v>47</v>
      </c>
      <c r="I19" s="99" t="s">
        <v>45</v>
      </c>
      <c r="J19" s="28">
        <v>1</v>
      </c>
      <c r="K19" s="28" t="s">
        <v>228</v>
      </c>
    </row>
    <row r="20" spans="1:11" x14ac:dyDescent="0.25">
      <c r="A20">
        <v>19</v>
      </c>
      <c r="B20" t="s">
        <v>277</v>
      </c>
      <c r="C20" s="99">
        <v>22</v>
      </c>
      <c r="D20" s="99" t="s">
        <v>198</v>
      </c>
      <c r="E20" s="28">
        <v>1</v>
      </c>
      <c r="F20" s="28" t="s">
        <v>24</v>
      </c>
      <c r="G20" t="s">
        <v>274</v>
      </c>
      <c r="H20" s="99">
        <v>21</v>
      </c>
      <c r="I20" s="99" t="s">
        <v>35</v>
      </c>
      <c r="J20" s="28">
        <v>2</v>
      </c>
      <c r="K20" s="28" t="s">
        <v>22</v>
      </c>
    </row>
  </sheetData>
  <sheetProtection algorithmName="SHA-512" hashValue="eB6Th7f2hxUnTqLhsvC4MoEkWa/RuAO1NrBfE10Ud+zIRP0LAvKD1I8hwjaSFcl3/A7tXThmdQ1RN4Bi8iJbMA==" saltValue="VCG7XGL0uIKZq3rOv3KisA==" spinCount="100000" sheet="1" objects="1" scenarios="1"/>
  <conditionalFormatting sqref="C1:U1">
    <cfRule type="containsBlanks" dxfId="30" priority="1">
      <formula>LEN(TRIM(C1))=0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212D7-31F3-5042-9E2D-983565CE15DA}">
  <sheetPr codeName="Sheet12"/>
  <dimension ref="A1:P1"/>
  <sheetViews>
    <sheetView workbookViewId="0">
      <selection activeCell="G19" sqref="G19"/>
    </sheetView>
  </sheetViews>
  <sheetFormatPr defaultColWidth="12" defaultRowHeight="12" x14ac:dyDescent="0.25"/>
  <cols>
    <col min="2" max="2" width="73.85546875" bestFit="1" customWidth="1"/>
  </cols>
  <sheetData>
    <row r="1" spans="1:16" ht="68.400000000000006" x14ac:dyDescent="0.25">
      <c r="A1" s="226" t="s">
        <v>278</v>
      </c>
      <c r="B1" s="226" t="s">
        <v>279</v>
      </c>
      <c r="C1" s="226" t="s">
        <v>73</v>
      </c>
      <c r="D1" s="226" t="s">
        <v>77</v>
      </c>
      <c r="E1" s="226" t="s">
        <v>78</v>
      </c>
      <c r="F1" s="226" t="s">
        <v>79</v>
      </c>
      <c r="G1" s="226" t="s">
        <v>80</v>
      </c>
      <c r="H1" s="226" t="s">
        <v>81</v>
      </c>
      <c r="I1" s="226" t="s">
        <v>82</v>
      </c>
      <c r="J1" s="226" t="s">
        <v>83</v>
      </c>
      <c r="K1" s="16" t="s">
        <v>88</v>
      </c>
      <c r="L1" s="16" t="s">
        <v>90</v>
      </c>
      <c r="M1" s="16" t="s">
        <v>6</v>
      </c>
      <c r="N1" s="16" t="s">
        <v>93</v>
      </c>
      <c r="O1" s="226" t="s">
        <v>95</v>
      </c>
      <c r="P1" s="226" t="s">
        <v>280</v>
      </c>
    </row>
  </sheetData>
  <autoFilter ref="A1:P1" xr:uid="{713212D7-31F3-5042-9E2D-983565CE15DA}"/>
  <conditionalFormatting sqref="A1:J1 P1">
    <cfRule type="containsBlanks" dxfId="29" priority="9">
      <formula>LEN(TRIM(A1))=0</formula>
    </cfRule>
  </conditionalFormatting>
  <conditionalFormatting sqref="A1:J1 O1:P1">
    <cfRule type="containsText" dxfId="28" priority="5" operator="containsText" text="Extreme">
      <formula>NOT(ISERROR(SEARCH("Extreme",A1)))</formula>
    </cfRule>
    <cfRule type="containsText" dxfId="27" priority="6" operator="containsText" text="Medium">
      <formula>NOT(ISERROR(SEARCH("Medium",A1)))</formula>
    </cfRule>
    <cfRule type="containsText" dxfId="26" priority="7" operator="containsText" text="High">
      <formula>NOT(ISERROR(SEARCH("High",A1)))</formula>
    </cfRule>
    <cfRule type="containsText" dxfId="25" priority="8" operator="containsText" text="Low">
      <formula>NOT(ISERROR(SEARCH("Low",A1)))</formula>
    </cfRule>
  </conditionalFormatting>
  <conditionalFormatting sqref="M1:N1">
    <cfRule type="containsText" dxfId="24" priority="1" operator="containsText" text="Extreme">
      <formula>NOT(ISERROR(SEARCH("Extreme",M1)))</formula>
    </cfRule>
    <cfRule type="containsText" dxfId="23" priority="2" operator="containsText" text="Medium">
      <formula>NOT(ISERROR(SEARCH("Medium",M1)))</formula>
    </cfRule>
    <cfRule type="containsText" dxfId="22" priority="3" operator="containsText" text="High">
      <formula>NOT(ISERROR(SEARCH("High",M1)))</formula>
    </cfRule>
    <cfRule type="containsText" dxfId="21" priority="4" operator="containsText" text="Low">
      <formula>NOT(ISERROR(SEARCH("Low",M1)))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37CFA-0C0F-4985-B619-E30404BDDA7C}">
  <sheetPr codeName="Sheet8"/>
  <dimension ref="A1:JB133"/>
  <sheetViews>
    <sheetView topLeftCell="W1" workbookViewId="0">
      <selection activeCell="AA14" sqref="AA14"/>
    </sheetView>
  </sheetViews>
  <sheetFormatPr defaultColWidth="9" defaultRowHeight="12" outlineLevelCol="2" x14ac:dyDescent="0.25"/>
  <cols>
    <col min="1" max="1" width="8.140625" style="138" customWidth="1"/>
    <col min="2" max="2" width="9.140625" customWidth="1" outlineLevel="1"/>
    <col min="3" max="3" width="73.85546875" customWidth="1" outlineLevel="1"/>
    <col min="4" max="4" width="5.140625" bestFit="1" customWidth="1" outlineLevel="1"/>
    <col min="5" max="5" width="26.5703125" bestFit="1" customWidth="1" outlineLevel="1"/>
    <col min="6" max="6" width="6" bestFit="1" customWidth="1" outlineLevel="1"/>
    <col min="7" max="7" width="19.85546875" bestFit="1" customWidth="1" outlineLevel="1"/>
    <col min="8" max="8" width="5" customWidth="1" outlineLevel="1"/>
    <col min="9" max="9" width="6" bestFit="1" customWidth="1" outlineLevel="1"/>
    <col min="10" max="10" width="23.140625" bestFit="1" customWidth="1" outlineLevel="1"/>
    <col min="11" max="11" width="6" bestFit="1" customWidth="1" outlineLevel="1"/>
    <col min="12" max="12" width="9.140625" style="151" customWidth="1" outlineLevel="1"/>
    <col min="13" max="13" width="5" customWidth="1" outlineLevel="1"/>
    <col min="14" max="14" width="6" bestFit="1" customWidth="1" outlineLevel="1"/>
    <col min="15" max="15" width="13.85546875" bestFit="1" customWidth="1" outlineLevel="1"/>
    <col min="16" max="16" width="6" bestFit="1" customWidth="1" outlineLevel="1"/>
    <col min="17" max="17" width="9.140625" style="151" customWidth="1" outlineLevel="1"/>
    <col min="18" max="18" width="8.140625" style="138" customWidth="1"/>
    <col min="19" max="19" width="41.42578125" customWidth="1" outlineLevel="1"/>
    <col min="20" max="20" width="22.85546875" customWidth="1" outlineLevel="1"/>
    <col min="21" max="22" width="9" customWidth="1" outlineLevel="1"/>
    <col min="23" max="23" width="20" customWidth="1" outlineLevel="1"/>
    <col min="24" max="30" width="20" customWidth="1" outlineLevel="2"/>
    <col min="31" max="31" width="20" customWidth="1" outlineLevel="1"/>
    <col min="32" max="35" width="18" customWidth="1" outlineLevel="2"/>
    <col min="36" max="36" width="18" customWidth="1" outlineLevel="1"/>
    <col min="37" max="37" width="18" customWidth="1" outlineLevel="2"/>
    <col min="38" max="41" width="18" customWidth="1" outlineLevel="1"/>
    <col min="42" max="46" width="18" customWidth="1" outlineLevel="2"/>
    <col min="47" max="47" width="18" customWidth="1" outlineLevel="1"/>
    <col min="48" max="53" width="18" customWidth="1" outlineLevel="2"/>
    <col min="54" max="55" width="18" customWidth="1" outlineLevel="1"/>
    <col min="56" max="58" width="18" customWidth="1" outlineLevel="2"/>
    <col min="59" max="59" width="18" customWidth="1" outlineLevel="1"/>
    <col min="60" max="64" width="18" customWidth="1" outlineLevel="2"/>
    <col min="65" max="65" width="18" customWidth="1" outlineLevel="1"/>
    <col min="66" max="67" width="18" customWidth="1" outlineLevel="2"/>
    <col min="68" max="68" width="18" customWidth="1" outlineLevel="1"/>
    <col min="69" max="70" width="18" customWidth="1" outlineLevel="2"/>
    <col min="71" max="71" width="18" customWidth="1" outlineLevel="1"/>
    <col min="72" max="73" width="18" customWidth="1" outlineLevel="2"/>
    <col min="74" max="76" width="18" customWidth="1" outlineLevel="1"/>
    <col min="77" max="80" width="18" customWidth="1" outlineLevel="2"/>
    <col min="81" max="81" width="18" customWidth="1" outlineLevel="1"/>
    <col min="82" max="87" width="18" customWidth="1" outlineLevel="2"/>
    <col min="88" max="88" width="18" customWidth="1" outlineLevel="1"/>
    <col min="89" max="91" width="18" customWidth="1" outlineLevel="2"/>
    <col min="92" max="92" width="18" customWidth="1" outlineLevel="1"/>
    <col min="93" max="95" width="18" customWidth="1" outlineLevel="2"/>
    <col min="96" max="96" width="18" customWidth="1" outlineLevel="1"/>
    <col min="97" max="102" width="18" customWidth="1" outlineLevel="2"/>
    <col min="103" max="104" width="18" customWidth="1" outlineLevel="1"/>
    <col min="105" max="105" width="18" customWidth="1" outlineLevel="2"/>
    <col min="106" max="106" width="18" customWidth="1" outlineLevel="1"/>
    <col min="107" max="110" width="18" customWidth="1" outlineLevel="2"/>
    <col min="111" max="112" width="18" customWidth="1" outlineLevel="1"/>
    <col min="113" max="115" width="18" customWidth="1" outlineLevel="2"/>
    <col min="116" max="116" width="18" customWidth="1" outlineLevel="1"/>
    <col min="117" max="119" width="18" customWidth="1" outlineLevel="2"/>
    <col min="120" max="121" width="18" customWidth="1" outlineLevel="1"/>
    <col min="122" max="127" width="18" customWidth="1" outlineLevel="2"/>
    <col min="128" max="128" width="18" customWidth="1" outlineLevel="1"/>
    <col min="129" max="129" width="9" customWidth="1" outlineLevel="1"/>
    <col min="130" max="131" width="18" customWidth="1" outlineLevel="2"/>
    <col min="133" max="135" width="9" customWidth="1" outlineLevel="1"/>
    <col min="136" max="136" width="33" customWidth="1" outlineLevel="1"/>
    <col min="137" max="137" width="9" customWidth="1" outlineLevel="1"/>
    <col min="139" max="139" width="9" customWidth="1" outlineLevel="1"/>
    <col min="140" max="140" width="55.85546875" customWidth="1" outlineLevel="1"/>
    <col min="141" max="197" width="9" customWidth="1" outlineLevel="1"/>
    <col min="199" max="255" width="9" customWidth="1" outlineLevel="1"/>
    <col min="256" max="256" width="55.85546875" customWidth="1" outlineLevel="1"/>
    <col min="257" max="262" width="9" customWidth="1" outlineLevel="1"/>
  </cols>
  <sheetData>
    <row r="1" spans="1:262" s="1" customFormat="1" ht="76.95" customHeight="1" x14ac:dyDescent="0.25">
      <c r="A1" s="334" t="s">
        <v>284</v>
      </c>
      <c r="B1" s="137" t="s">
        <v>278</v>
      </c>
      <c r="C1" s="137" t="s">
        <v>279</v>
      </c>
      <c r="D1" s="137" t="s">
        <v>285</v>
      </c>
      <c r="E1" s="141" t="s">
        <v>286</v>
      </c>
      <c r="F1" s="141" t="s">
        <v>287</v>
      </c>
      <c r="G1" s="141" t="s">
        <v>288</v>
      </c>
      <c r="H1" s="141" t="s">
        <v>268</v>
      </c>
      <c r="I1" s="141" t="s">
        <v>289</v>
      </c>
      <c r="J1" s="141" t="s">
        <v>290</v>
      </c>
      <c r="K1" s="141" t="s">
        <v>291</v>
      </c>
      <c r="L1" s="149" t="s">
        <v>292</v>
      </c>
      <c r="M1" s="141" t="s">
        <v>268</v>
      </c>
      <c r="N1" s="141" t="s">
        <v>289</v>
      </c>
      <c r="O1" s="141" t="s">
        <v>290</v>
      </c>
      <c r="P1" s="141" t="s">
        <v>291</v>
      </c>
      <c r="Q1" s="149" t="s">
        <v>292</v>
      </c>
      <c r="R1" s="335" t="s">
        <v>293</v>
      </c>
      <c r="W1" s="161" t="s">
        <v>294</v>
      </c>
      <c r="X1" s="220" t="s">
        <v>86</v>
      </c>
      <c r="Y1" s="220" t="s">
        <v>86</v>
      </c>
      <c r="Z1" s="221" t="s">
        <v>86</v>
      </c>
      <c r="AA1" s="222" t="s">
        <v>86</v>
      </c>
      <c r="AB1" s="220" t="s">
        <v>86</v>
      </c>
      <c r="AC1" s="220" t="s">
        <v>86</v>
      </c>
      <c r="AD1" s="221" t="s">
        <v>86</v>
      </c>
      <c r="AE1" s="222" t="s">
        <v>86</v>
      </c>
      <c r="AF1" s="224" t="s">
        <v>383</v>
      </c>
      <c r="AG1" s="224" t="s">
        <v>383</v>
      </c>
      <c r="AH1" s="224" t="s">
        <v>383</v>
      </c>
      <c r="AI1" s="224" t="s">
        <v>383</v>
      </c>
      <c r="AJ1" s="224" t="s">
        <v>383</v>
      </c>
      <c r="AK1" s="283" t="s">
        <v>381</v>
      </c>
      <c r="AL1" s="283" t="s">
        <v>381</v>
      </c>
      <c r="AM1" s="223" t="s">
        <v>295</v>
      </c>
      <c r="AN1" s="283" t="s">
        <v>316</v>
      </c>
      <c r="AO1" s="223" t="s">
        <v>296</v>
      </c>
      <c r="AP1" s="223" t="s">
        <v>297</v>
      </c>
      <c r="AQ1" s="223" t="s">
        <v>297</v>
      </c>
      <c r="AR1" s="223" t="s">
        <v>297</v>
      </c>
      <c r="AS1" s="223" t="s">
        <v>297</v>
      </c>
      <c r="AT1" s="223" t="s">
        <v>297</v>
      </c>
      <c r="AU1" s="223" t="s">
        <v>297</v>
      </c>
      <c r="AV1" s="224" t="s">
        <v>298</v>
      </c>
      <c r="AW1" s="223" t="s">
        <v>298</v>
      </c>
      <c r="AX1" s="223" t="s">
        <v>298</v>
      </c>
      <c r="AY1" s="223" t="s">
        <v>298</v>
      </c>
      <c r="AZ1" s="223" t="s">
        <v>298</v>
      </c>
      <c r="BA1" s="223" t="s">
        <v>298</v>
      </c>
      <c r="BB1" s="223" t="s">
        <v>298</v>
      </c>
      <c r="BC1" s="223" t="s">
        <v>281</v>
      </c>
      <c r="BD1" s="223" t="s">
        <v>282</v>
      </c>
      <c r="BE1" s="223" t="s">
        <v>282</v>
      </c>
      <c r="BF1" s="223" t="s">
        <v>282</v>
      </c>
      <c r="BG1" s="223" t="s">
        <v>282</v>
      </c>
      <c r="BH1" s="223" t="s">
        <v>283</v>
      </c>
      <c r="BI1" s="223" t="s">
        <v>283</v>
      </c>
      <c r="BJ1" s="223" t="s">
        <v>283</v>
      </c>
      <c r="BK1" s="223" t="s">
        <v>283</v>
      </c>
      <c r="BL1" s="223" t="s">
        <v>283</v>
      </c>
      <c r="BM1" s="223" t="s">
        <v>283</v>
      </c>
      <c r="BN1" s="223" t="s">
        <v>299</v>
      </c>
      <c r="BO1" s="223" t="s">
        <v>299</v>
      </c>
      <c r="BP1" s="223" t="s">
        <v>299</v>
      </c>
      <c r="BQ1" s="223" t="s">
        <v>300</v>
      </c>
      <c r="BR1" s="223" t="s">
        <v>300</v>
      </c>
      <c r="BS1" s="223" t="s">
        <v>300</v>
      </c>
      <c r="BT1" s="223" t="s">
        <v>301</v>
      </c>
      <c r="BU1" s="223" t="s">
        <v>301</v>
      </c>
      <c r="BV1" s="223" t="s">
        <v>301</v>
      </c>
      <c r="BW1" s="223" t="s">
        <v>302</v>
      </c>
      <c r="BX1" s="223" t="s">
        <v>303</v>
      </c>
      <c r="BY1" s="223" t="s">
        <v>303</v>
      </c>
      <c r="BZ1" s="223" t="s">
        <v>303</v>
      </c>
      <c r="CA1" s="223" t="s">
        <v>303</v>
      </c>
      <c r="CB1" s="223" t="s">
        <v>303</v>
      </c>
      <c r="CC1" s="223" t="s">
        <v>303</v>
      </c>
      <c r="CD1" s="223" t="s">
        <v>304</v>
      </c>
      <c r="CE1" s="223" t="s">
        <v>304</v>
      </c>
      <c r="CF1" s="223" t="s">
        <v>304</v>
      </c>
      <c r="CG1" s="223" t="s">
        <v>304</v>
      </c>
      <c r="CH1" s="223" t="s">
        <v>304</v>
      </c>
      <c r="CI1" s="223" t="s">
        <v>304</v>
      </c>
      <c r="CJ1" s="223" t="s">
        <v>304</v>
      </c>
      <c r="CK1" s="223" t="s">
        <v>305</v>
      </c>
      <c r="CL1" s="223" t="s">
        <v>305</v>
      </c>
      <c r="CM1" s="223" t="s">
        <v>305</v>
      </c>
      <c r="CN1" s="223" t="s">
        <v>305</v>
      </c>
      <c r="CO1" s="223" t="s">
        <v>306</v>
      </c>
      <c r="CP1" s="223" t="s">
        <v>306</v>
      </c>
      <c r="CQ1" s="223" t="s">
        <v>306</v>
      </c>
      <c r="CR1" s="223" t="s">
        <v>306</v>
      </c>
      <c r="CS1" s="223" t="s">
        <v>307</v>
      </c>
      <c r="CT1" s="223" t="s">
        <v>307</v>
      </c>
      <c r="CU1" s="223" t="s">
        <v>307</v>
      </c>
      <c r="CV1" s="223" t="s">
        <v>307</v>
      </c>
      <c r="CW1" s="223" t="s">
        <v>307</v>
      </c>
      <c r="CX1" s="223" t="s">
        <v>307</v>
      </c>
      <c r="CY1" s="223" t="s">
        <v>307</v>
      </c>
      <c r="CZ1" s="223" t="s">
        <v>308</v>
      </c>
      <c r="DA1" s="223" t="s">
        <v>309</v>
      </c>
      <c r="DB1" s="223" t="s">
        <v>309</v>
      </c>
      <c r="DC1" s="223" t="s">
        <v>310</v>
      </c>
      <c r="DD1" s="223" t="s">
        <v>310</v>
      </c>
      <c r="DE1" s="223" t="s">
        <v>310</v>
      </c>
      <c r="DF1" s="223" t="s">
        <v>310</v>
      </c>
      <c r="DG1" s="223" t="s">
        <v>310</v>
      </c>
      <c r="DH1" s="223" t="s">
        <v>311</v>
      </c>
      <c r="DI1" s="223" t="s">
        <v>312</v>
      </c>
      <c r="DJ1" s="223" t="s">
        <v>312</v>
      </c>
      <c r="DK1" s="223" t="s">
        <v>312</v>
      </c>
      <c r="DL1" s="223" t="s">
        <v>312</v>
      </c>
      <c r="DM1" s="283" t="s">
        <v>315</v>
      </c>
      <c r="DN1" s="283" t="s">
        <v>315</v>
      </c>
      <c r="DO1" s="283" t="s">
        <v>315</v>
      </c>
      <c r="DP1" s="283" t="s">
        <v>315</v>
      </c>
      <c r="DQ1" s="223" t="s">
        <v>313</v>
      </c>
      <c r="DR1" s="223" t="s">
        <v>314</v>
      </c>
      <c r="DS1" s="223" t="s">
        <v>314</v>
      </c>
      <c r="DT1" s="223" t="s">
        <v>314</v>
      </c>
      <c r="DU1" s="223" t="s">
        <v>314</v>
      </c>
      <c r="DV1" s="223" t="s">
        <v>314</v>
      </c>
      <c r="DW1" s="223" t="s">
        <v>314</v>
      </c>
      <c r="DX1" s="223" t="s">
        <v>314</v>
      </c>
      <c r="DZ1" s="268"/>
      <c r="EA1" s="268"/>
      <c r="EB1" s="335" t="s">
        <v>317</v>
      </c>
      <c r="EC1" s="137" t="s">
        <v>278</v>
      </c>
      <c r="ED1" s="137" t="s">
        <v>279</v>
      </c>
      <c r="EE1" s="97" t="s">
        <v>318</v>
      </c>
      <c r="EF1" s="97" t="s">
        <v>319</v>
      </c>
      <c r="EG1" s="97"/>
      <c r="EH1" s="335" t="s">
        <v>320</v>
      </c>
      <c r="EI1" s="137" t="s">
        <v>278</v>
      </c>
      <c r="EJ1" s="137" t="s">
        <v>279</v>
      </c>
      <c r="EK1" s="137" t="s">
        <v>318</v>
      </c>
      <c r="EL1" s="137" t="s">
        <v>74</v>
      </c>
      <c r="EM1" s="137" t="s">
        <v>75</v>
      </c>
      <c r="EN1" s="137" t="s">
        <v>76</v>
      </c>
      <c r="EO1" s="137" t="s">
        <v>73</v>
      </c>
      <c r="EP1" s="137" t="s">
        <v>77</v>
      </c>
      <c r="EQ1" s="137" t="s">
        <v>78</v>
      </c>
      <c r="ER1" s="137" t="s">
        <v>79</v>
      </c>
      <c r="ES1" s="137" t="s">
        <v>80</v>
      </c>
      <c r="ET1" s="137" t="s">
        <v>81</v>
      </c>
      <c r="EU1" s="137" t="s">
        <v>82</v>
      </c>
      <c r="EV1" s="137" t="s">
        <v>83</v>
      </c>
      <c r="EW1" s="137" t="s">
        <v>84</v>
      </c>
      <c r="EX1" s="137" t="s">
        <v>11</v>
      </c>
      <c r="EY1" s="137" t="s">
        <v>15</v>
      </c>
      <c r="EZ1" s="137" t="s">
        <v>19</v>
      </c>
      <c r="FA1" s="137" t="s">
        <v>23</v>
      </c>
      <c r="FB1" s="137" t="s">
        <v>26</v>
      </c>
      <c r="FC1" s="137" t="s">
        <v>28</v>
      </c>
      <c r="FD1" s="137" t="s">
        <v>31</v>
      </c>
      <c r="FE1" s="137" t="s">
        <v>33</v>
      </c>
      <c r="FF1" s="137" t="s">
        <v>35</v>
      </c>
      <c r="FG1" s="137" t="s">
        <v>85</v>
      </c>
      <c r="FH1" s="137" t="s">
        <v>40</v>
      </c>
      <c r="FI1" s="137" t="s">
        <v>43</v>
      </c>
      <c r="FJ1" s="137" t="s">
        <v>47</v>
      </c>
      <c r="FK1" s="137" t="s">
        <v>49</v>
      </c>
      <c r="FL1" s="137" t="s">
        <v>51</v>
      </c>
      <c r="FM1" s="137" t="s">
        <v>54</v>
      </c>
      <c r="FN1" s="137" t="s">
        <v>57</v>
      </c>
      <c r="FO1" s="137" t="s">
        <v>61</v>
      </c>
      <c r="FP1" s="137" t="s">
        <v>63</v>
      </c>
      <c r="FQ1" s="137" t="s">
        <v>66</v>
      </c>
      <c r="FR1" s="137" t="s">
        <v>68</v>
      </c>
      <c r="FS1" s="137" t="s">
        <v>71</v>
      </c>
      <c r="FT1" s="137" t="s">
        <v>72</v>
      </c>
      <c r="FU1" s="137" t="s">
        <v>13</v>
      </c>
      <c r="FV1" s="137" t="s">
        <v>17</v>
      </c>
      <c r="FW1" s="137" t="s">
        <v>21</v>
      </c>
      <c r="FX1" s="137" t="s">
        <v>25</v>
      </c>
      <c r="FY1" s="137" t="s">
        <v>27</v>
      </c>
      <c r="FZ1" s="137" t="s">
        <v>29</v>
      </c>
      <c r="GA1" s="137" t="s">
        <v>32</v>
      </c>
      <c r="GB1" s="137" t="s">
        <v>34</v>
      </c>
      <c r="GC1" s="137" t="s">
        <v>36</v>
      </c>
      <c r="GD1" s="137" t="s">
        <v>39</v>
      </c>
      <c r="GE1" s="137" t="s">
        <v>42</v>
      </c>
      <c r="GF1" s="137" t="s">
        <v>45</v>
      </c>
      <c r="GG1" s="137" t="s">
        <v>48</v>
      </c>
      <c r="GH1" s="137" t="s">
        <v>50</v>
      </c>
      <c r="GI1" s="137" t="s">
        <v>52</v>
      </c>
      <c r="GJ1" s="137" t="s">
        <v>55</v>
      </c>
      <c r="GK1" s="137" t="s">
        <v>58</v>
      </c>
      <c r="GL1" s="137" t="s">
        <v>62</v>
      </c>
      <c r="GM1" s="137" t="s">
        <v>64</v>
      </c>
      <c r="GN1" s="137" t="s">
        <v>67</v>
      </c>
      <c r="GO1" s="137" t="s">
        <v>69</v>
      </c>
      <c r="GP1" s="335" t="s">
        <v>321</v>
      </c>
      <c r="GQ1" s="137" t="s">
        <v>74</v>
      </c>
      <c r="GR1" s="137" t="s">
        <v>75</v>
      </c>
      <c r="GS1" s="137" t="s">
        <v>76</v>
      </c>
      <c r="GT1" s="137" t="s">
        <v>73</v>
      </c>
      <c r="GU1" s="137" t="s">
        <v>77</v>
      </c>
      <c r="GV1" s="137" t="s">
        <v>78</v>
      </c>
      <c r="GW1" s="137" t="s">
        <v>79</v>
      </c>
      <c r="GX1" s="137" t="s">
        <v>80</v>
      </c>
      <c r="GY1" s="137" t="s">
        <v>81</v>
      </c>
      <c r="GZ1" s="137" t="s">
        <v>82</v>
      </c>
      <c r="HA1" s="137" t="s">
        <v>83</v>
      </c>
      <c r="HB1" s="137" t="s">
        <v>84</v>
      </c>
      <c r="HC1" s="137" t="s">
        <v>11</v>
      </c>
      <c r="HD1" s="137" t="s">
        <v>15</v>
      </c>
      <c r="HE1" s="137" t="s">
        <v>19</v>
      </c>
      <c r="HF1" s="137" t="s">
        <v>23</v>
      </c>
      <c r="HG1" s="137" t="s">
        <v>26</v>
      </c>
      <c r="HH1" s="137" t="s">
        <v>28</v>
      </c>
      <c r="HI1" s="137" t="s">
        <v>31</v>
      </c>
      <c r="HJ1" s="137" t="s">
        <v>33</v>
      </c>
      <c r="HK1" s="137" t="s">
        <v>35</v>
      </c>
      <c r="HL1" s="137" t="s">
        <v>85</v>
      </c>
      <c r="HM1" s="137" t="s">
        <v>40</v>
      </c>
      <c r="HN1" s="137" t="s">
        <v>43</v>
      </c>
      <c r="HO1" s="137" t="s">
        <v>47</v>
      </c>
      <c r="HP1" s="137" t="s">
        <v>49</v>
      </c>
      <c r="HQ1" s="137" t="s">
        <v>51</v>
      </c>
      <c r="HR1" s="137" t="s">
        <v>54</v>
      </c>
      <c r="HS1" s="137" t="s">
        <v>57</v>
      </c>
      <c r="HT1" s="137" t="s">
        <v>61</v>
      </c>
      <c r="HU1" s="137" t="s">
        <v>63</v>
      </c>
      <c r="HV1" s="137" t="s">
        <v>66</v>
      </c>
      <c r="HW1" s="137" t="s">
        <v>68</v>
      </c>
      <c r="HX1" s="137" t="s">
        <v>71</v>
      </c>
      <c r="HY1" s="137" t="s">
        <v>72</v>
      </c>
      <c r="HZ1" s="137" t="s">
        <v>13</v>
      </c>
      <c r="IA1" s="137" t="s">
        <v>17</v>
      </c>
      <c r="IB1" s="137" t="s">
        <v>21</v>
      </c>
      <c r="IC1" s="137" t="s">
        <v>25</v>
      </c>
      <c r="ID1" s="137" t="s">
        <v>27</v>
      </c>
      <c r="IE1" s="137" t="s">
        <v>29</v>
      </c>
      <c r="IF1" s="137" t="s">
        <v>32</v>
      </c>
      <c r="IG1" s="137" t="s">
        <v>34</v>
      </c>
      <c r="IH1" s="137" t="s">
        <v>36</v>
      </c>
      <c r="II1" s="137" t="s">
        <v>39</v>
      </c>
      <c r="IJ1" s="137" t="s">
        <v>42</v>
      </c>
      <c r="IK1" s="137" t="s">
        <v>45</v>
      </c>
      <c r="IL1" s="137" t="s">
        <v>48</v>
      </c>
      <c r="IM1" s="137" t="s">
        <v>50</v>
      </c>
      <c r="IN1" s="137" t="s">
        <v>52</v>
      </c>
      <c r="IO1" s="137" t="s">
        <v>55</v>
      </c>
      <c r="IP1" s="137" t="s">
        <v>58</v>
      </c>
      <c r="IQ1" s="137" t="s">
        <v>62</v>
      </c>
      <c r="IR1" s="137" t="s">
        <v>64</v>
      </c>
      <c r="IS1" s="137" t="s">
        <v>67</v>
      </c>
      <c r="IT1" s="137" t="s">
        <v>69</v>
      </c>
      <c r="IU1" s="227" t="s">
        <v>278</v>
      </c>
      <c r="IV1" s="227" t="s">
        <v>279</v>
      </c>
      <c r="IW1" s="225" t="s">
        <v>88</v>
      </c>
      <c r="IX1" s="225" t="s">
        <v>90</v>
      </c>
      <c r="IY1" s="225" t="s">
        <v>6</v>
      </c>
      <c r="IZ1" s="225" t="s">
        <v>93</v>
      </c>
      <c r="JA1" s="228" t="s">
        <v>95</v>
      </c>
      <c r="JB1" s="226" t="s">
        <v>280</v>
      </c>
    </row>
    <row r="2" spans="1:262" ht="22.8" x14ac:dyDescent="0.25">
      <c r="A2" s="334"/>
      <c r="B2">
        <v>1</v>
      </c>
      <c r="C2" t="s">
        <v>86</v>
      </c>
      <c r="D2">
        <v>14</v>
      </c>
      <c r="E2" s="142" t="s">
        <v>15</v>
      </c>
      <c r="F2">
        <f>'Upload spec'!G22</f>
        <v>4</v>
      </c>
      <c r="G2" s="143" t="s">
        <v>160</v>
      </c>
      <c r="H2" s="143" t="s">
        <v>274</v>
      </c>
      <c r="I2">
        <v>22</v>
      </c>
      <c r="J2" s="142" t="s">
        <v>38</v>
      </c>
      <c r="K2">
        <f>'Upload spec'!G39</f>
        <v>1</v>
      </c>
      <c r="L2" s="150" t="s">
        <v>24</v>
      </c>
      <c r="M2" s="143" t="s">
        <v>274</v>
      </c>
      <c r="N2" s="232">
        <v>15</v>
      </c>
      <c r="O2" s="267" t="s">
        <v>19</v>
      </c>
      <c r="P2" s="232">
        <f>'Upload spec'!G25</f>
        <v>1</v>
      </c>
      <c r="Q2" s="314" t="s">
        <v>151</v>
      </c>
      <c r="R2" s="335"/>
      <c r="W2" s="161" t="s">
        <v>322</v>
      </c>
      <c r="X2" s="163">
        <v>1</v>
      </c>
      <c r="Y2" s="163">
        <v>1</v>
      </c>
      <c r="Z2" s="163">
        <v>1</v>
      </c>
      <c r="AA2" s="181">
        <v>1</v>
      </c>
      <c r="AB2" s="163">
        <v>1</v>
      </c>
      <c r="AC2" s="163">
        <v>1</v>
      </c>
      <c r="AD2" s="163">
        <v>1</v>
      </c>
      <c r="AE2" s="181">
        <v>1</v>
      </c>
      <c r="AF2" s="206">
        <v>2</v>
      </c>
      <c r="AG2" s="195">
        <v>2</v>
      </c>
      <c r="AH2" s="195">
        <v>2</v>
      </c>
      <c r="AI2" s="206">
        <v>2</v>
      </c>
      <c r="AJ2" s="195">
        <v>2</v>
      </c>
      <c r="AK2" s="195">
        <v>3</v>
      </c>
      <c r="AL2" s="195">
        <v>3</v>
      </c>
      <c r="AM2" s="195">
        <v>4</v>
      </c>
      <c r="AN2" s="195">
        <v>5</v>
      </c>
      <c r="AO2" s="195">
        <v>6</v>
      </c>
      <c r="AP2" s="195">
        <v>7</v>
      </c>
      <c r="AQ2" s="195">
        <v>7</v>
      </c>
      <c r="AR2" s="195">
        <v>7</v>
      </c>
      <c r="AS2" s="195">
        <v>7</v>
      </c>
      <c r="AT2" s="195">
        <v>7</v>
      </c>
      <c r="AU2" s="195">
        <v>7</v>
      </c>
      <c r="AV2" s="206">
        <v>8</v>
      </c>
      <c r="AW2" s="195">
        <v>8</v>
      </c>
      <c r="AX2" s="195">
        <v>8</v>
      </c>
      <c r="AY2" s="195">
        <v>8</v>
      </c>
      <c r="AZ2" s="195">
        <v>8</v>
      </c>
      <c r="BA2" s="195">
        <v>8</v>
      </c>
      <c r="BB2" s="195">
        <v>8</v>
      </c>
      <c r="BC2" s="195">
        <v>9</v>
      </c>
      <c r="BD2" s="195">
        <v>10</v>
      </c>
      <c r="BE2" s="195">
        <v>10</v>
      </c>
      <c r="BF2" s="195">
        <v>10</v>
      </c>
      <c r="BG2" s="195">
        <v>10</v>
      </c>
      <c r="BH2" s="195">
        <v>11</v>
      </c>
      <c r="BI2" s="195">
        <v>11</v>
      </c>
      <c r="BJ2" s="195">
        <v>11</v>
      </c>
      <c r="BK2" s="195">
        <v>11</v>
      </c>
      <c r="BL2" s="195">
        <v>11</v>
      </c>
      <c r="BM2" s="195">
        <v>11</v>
      </c>
      <c r="BN2" s="195">
        <v>12</v>
      </c>
      <c r="BO2" s="195">
        <v>12</v>
      </c>
      <c r="BP2" s="195">
        <v>12</v>
      </c>
      <c r="BQ2" s="195">
        <v>13</v>
      </c>
      <c r="BR2" s="195">
        <v>13</v>
      </c>
      <c r="BS2" s="195">
        <v>13</v>
      </c>
      <c r="BT2" s="195">
        <v>14</v>
      </c>
      <c r="BU2" s="195">
        <v>14</v>
      </c>
      <c r="BV2" s="195">
        <v>14</v>
      </c>
      <c r="BW2" s="195">
        <v>15</v>
      </c>
      <c r="BX2" s="195">
        <v>14</v>
      </c>
      <c r="BY2" s="195">
        <v>16</v>
      </c>
      <c r="BZ2" s="195">
        <v>16</v>
      </c>
      <c r="CA2" s="195">
        <v>16</v>
      </c>
      <c r="CB2" s="195">
        <v>16</v>
      </c>
      <c r="CC2" s="195">
        <v>16</v>
      </c>
      <c r="CD2" s="195">
        <v>17</v>
      </c>
      <c r="CE2" s="195">
        <v>17</v>
      </c>
      <c r="CF2" s="195">
        <v>17</v>
      </c>
      <c r="CG2" s="195">
        <v>17</v>
      </c>
      <c r="CH2" s="195">
        <v>17</v>
      </c>
      <c r="CI2" s="195">
        <v>17</v>
      </c>
      <c r="CJ2" s="195">
        <v>17</v>
      </c>
      <c r="CK2" s="195">
        <v>18</v>
      </c>
      <c r="CL2" s="195">
        <v>18</v>
      </c>
      <c r="CM2" s="195">
        <v>18</v>
      </c>
      <c r="CN2" s="195">
        <v>18</v>
      </c>
      <c r="CO2" s="195">
        <v>19</v>
      </c>
      <c r="CP2" s="195">
        <v>19</v>
      </c>
      <c r="CQ2" s="195">
        <v>19</v>
      </c>
      <c r="CR2" s="195">
        <v>19</v>
      </c>
      <c r="CS2" s="195">
        <v>20</v>
      </c>
      <c r="CT2" s="195">
        <v>20</v>
      </c>
      <c r="CU2" s="195">
        <v>20</v>
      </c>
      <c r="CV2" s="195">
        <v>20</v>
      </c>
      <c r="CW2" s="195">
        <v>20</v>
      </c>
      <c r="CX2" s="195">
        <v>20</v>
      </c>
      <c r="CY2" s="195">
        <v>20</v>
      </c>
      <c r="CZ2" s="195">
        <v>21</v>
      </c>
      <c r="DA2" s="195">
        <v>22</v>
      </c>
      <c r="DB2" s="195">
        <v>22</v>
      </c>
      <c r="DC2" s="195">
        <v>23</v>
      </c>
      <c r="DD2" s="195">
        <v>23</v>
      </c>
      <c r="DE2" s="195">
        <v>23</v>
      </c>
      <c r="DF2" s="195">
        <v>23</v>
      </c>
      <c r="DG2" s="195">
        <v>23</v>
      </c>
      <c r="DH2" s="195">
        <v>24</v>
      </c>
      <c r="DI2" s="195">
        <v>25</v>
      </c>
      <c r="DJ2" s="195">
        <v>25</v>
      </c>
      <c r="DK2" s="195">
        <v>25</v>
      </c>
      <c r="DL2" s="195">
        <v>25</v>
      </c>
      <c r="DM2" s="195">
        <v>26</v>
      </c>
      <c r="DN2" s="195">
        <v>26</v>
      </c>
      <c r="DO2" s="195">
        <v>26</v>
      </c>
      <c r="DP2" s="195">
        <v>26</v>
      </c>
      <c r="DQ2" s="195">
        <v>27</v>
      </c>
      <c r="DR2" s="195">
        <v>28</v>
      </c>
      <c r="DS2" s="195">
        <v>28</v>
      </c>
      <c r="DT2" s="195">
        <v>28</v>
      </c>
      <c r="DU2" s="195">
        <v>28</v>
      </c>
      <c r="DV2" s="195">
        <v>28</v>
      </c>
      <c r="DW2" s="195">
        <v>28</v>
      </c>
      <c r="DX2" s="195">
        <v>28</v>
      </c>
      <c r="EB2" s="335"/>
      <c r="EC2">
        <v>1</v>
      </c>
      <c r="ED2" t="s">
        <v>86</v>
      </c>
      <c r="EE2" t="b" cm="1">
        <f t="array" ref="EE2">IF(SUMPRODUCT(--($EC2=$X$2:$DX$2),--($X$9:$DX$9))&gt;=1,TRUE,FALSE)</f>
        <v>0</v>
      </c>
      <c r="EF2" s="29" t="str">
        <f>'CycleRAP Model'!K3</f>
        <v>Coder name</v>
      </c>
      <c r="EG2" t="str">
        <f>'CycleRAP Model'!O3</f>
        <v>Gabriel G</v>
      </c>
      <c r="EH2" s="335"/>
      <c r="EI2">
        <v>1</v>
      </c>
      <c r="EJ2" t="s">
        <v>86</v>
      </c>
      <c r="EK2" t="b">
        <f>EE2</f>
        <v>0</v>
      </c>
      <c r="EL2" t="str">
        <f t="shared" ref="EL2:EW11" ca="1" si="0">OFFSET($EF$1,MATCH(EL$1,$EF$2:$EF$59,0),1)</f>
        <v>Gabriel G</v>
      </c>
      <c r="EM2">
        <f t="shared" ca="1" si="0"/>
        <v>45076</v>
      </c>
      <c r="EN2">
        <f t="shared" ca="1" si="0"/>
        <v>45076</v>
      </c>
      <c r="EO2" t="str">
        <f t="shared" ca="1" si="0"/>
        <v>F004560</v>
      </c>
      <c r="EP2" t="str">
        <f t="shared" ca="1" si="0"/>
        <v>Carrera 30</v>
      </c>
      <c r="EQ2">
        <f t="shared" ca="1" si="0"/>
        <v>4560</v>
      </c>
      <c r="ER2">
        <f t="shared" ca="1" si="0"/>
        <v>0.01</v>
      </c>
      <c r="ES2">
        <f t="shared" ca="1" si="0"/>
        <v>4.6501536000000003</v>
      </c>
      <c r="ET2">
        <f t="shared" ca="1" si="0"/>
        <v>-74.078029700000002</v>
      </c>
      <c r="EU2">
        <f t="shared" ca="1" si="0"/>
        <v>4.6502423000000004</v>
      </c>
      <c r="EV2">
        <f t="shared" ca="1" si="0"/>
        <v>-74.078021500000006</v>
      </c>
      <c r="EW2" t="e">
        <f t="shared" ca="1" si="0"/>
        <v>#REF!</v>
      </c>
      <c r="EX2">
        <f t="shared" ref="EX2:FG11" ca="1" si="1">IF($EK2=FALSE,OFFSET($EF$1,MATCH(EX$1,$EF$2:$EF$507,0),1),IF($E2=EX$1,$F2,IF($J2=EX$1,$K2,IF($O2=EX$1,$P2,OFFSET($EF$1,MATCH(EX$1,$EF$2:$EF$507,0),1)))))</f>
        <v>2</v>
      </c>
      <c r="EY2">
        <f t="shared" ca="1" si="1"/>
        <v>3</v>
      </c>
      <c r="EZ2">
        <f t="shared" ca="1" si="1"/>
        <v>1</v>
      </c>
      <c r="FA2">
        <f t="shared" ca="1" si="1"/>
        <v>2</v>
      </c>
      <c r="FB2">
        <f t="shared" ca="1" si="1"/>
        <v>2</v>
      </c>
      <c r="FC2">
        <f t="shared" ca="1" si="1"/>
        <v>2</v>
      </c>
      <c r="FD2">
        <f t="shared" ca="1" si="1"/>
        <v>2</v>
      </c>
      <c r="FE2">
        <f t="shared" ca="1" si="1"/>
        <v>2</v>
      </c>
      <c r="FF2">
        <f t="shared" ca="1" si="1"/>
        <v>2</v>
      </c>
      <c r="FG2">
        <f t="shared" ca="1" si="1"/>
        <v>1</v>
      </c>
      <c r="FH2">
        <f t="shared" ref="FH2:FQ11" ca="1" si="2">IF($EK2=FALSE,OFFSET($EF$1,MATCH(FH$1,$EF$2:$EF$507,0),1),IF($E2=FH$1,$F2,IF($J2=FH$1,$K2,IF($O2=FH$1,$P2,OFFSET($EF$1,MATCH(FH$1,$EF$2:$EF$507,0),1)))))</f>
        <v>1</v>
      </c>
      <c r="FI2">
        <f t="shared" ca="1" si="2"/>
        <v>2</v>
      </c>
      <c r="FJ2">
        <f t="shared" ca="1" si="2"/>
        <v>2</v>
      </c>
      <c r="FK2">
        <f t="shared" ca="1" si="2"/>
        <v>2</v>
      </c>
      <c r="FL2">
        <f t="shared" ca="1" si="2"/>
        <v>2</v>
      </c>
      <c r="FM2">
        <f t="shared" ca="1" si="2"/>
        <v>2</v>
      </c>
      <c r="FN2">
        <f t="shared" ca="1" si="2"/>
        <v>1</v>
      </c>
      <c r="FO2">
        <f t="shared" ca="1" si="2"/>
        <v>1</v>
      </c>
      <c r="FP2">
        <f t="shared" ca="1" si="2"/>
        <v>2</v>
      </c>
      <c r="FQ2">
        <f t="shared" ca="1" si="2"/>
        <v>2</v>
      </c>
      <c r="FR2">
        <f t="shared" ref="FR2:GA11" ca="1" si="3">IF($EK2=FALSE,OFFSET($EF$1,MATCH(FR$1,$EF$2:$EF$507,0),1),IF($E2=FR$1,$F2,IF($J2=FR$1,$K2,IF($O2=FR$1,$P2,OFFSET($EF$1,MATCH(FR$1,$EF$2:$EF$507,0),1)))))</f>
        <v>2</v>
      </c>
      <c r="FS2">
        <f t="shared" ca="1" si="3"/>
        <v>2</v>
      </c>
      <c r="FT2">
        <f t="shared" ca="1" si="3"/>
        <v>2</v>
      </c>
      <c r="FU2">
        <f t="shared" ca="1" si="3"/>
        <v>1</v>
      </c>
      <c r="FV2">
        <f t="shared" ca="1" si="3"/>
        <v>2</v>
      </c>
      <c r="FW2">
        <f t="shared" ca="1" si="3"/>
        <v>1</v>
      </c>
      <c r="FX2">
        <f t="shared" ca="1" si="3"/>
        <v>2</v>
      </c>
      <c r="FY2">
        <f t="shared" ca="1" si="3"/>
        <v>2</v>
      </c>
      <c r="FZ2">
        <f t="shared" ca="1" si="3"/>
        <v>2</v>
      </c>
      <c r="GA2">
        <f t="shared" ca="1" si="3"/>
        <v>2</v>
      </c>
      <c r="GB2">
        <f t="shared" ref="GB2:GO11" ca="1" si="4">IF($EK2=FALSE,OFFSET($EF$1,MATCH(GB$1,$EF$2:$EF$507,0),1),IF($E2=GB$1,$F2,IF($J2=GB$1,$K2,IF($O2=GB$1,$P2,OFFSET($EF$1,MATCH(GB$1,$EF$2:$EF$507,0),1)))))</f>
        <v>2</v>
      </c>
      <c r="GC2">
        <f t="shared" ca="1" si="4"/>
        <v>2</v>
      </c>
      <c r="GD2">
        <f t="shared" ca="1" si="4"/>
        <v>1</v>
      </c>
      <c r="GE2">
        <f t="shared" ca="1" si="4"/>
        <v>2</v>
      </c>
      <c r="GF2">
        <f t="shared" ca="1" si="4"/>
        <v>3</v>
      </c>
      <c r="GG2">
        <f t="shared" ca="1" si="4"/>
        <v>2</v>
      </c>
      <c r="GH2">
        <f t="shared" ca="1" si="4"/>
        <v>2</v>
      </c>
      <c r="GI2">
        <f t="shared" ca="1" si="4"/>
        <v>1</v>
      </c>
      <c r="GJ2">
        <f t="shared" ca="1" si="4"/>
        <v>1</v>
      </c>
      <c r="GK2">
        <f t="shared" ca="1" si="4"/>
        <v>39500</v>
      </c>
      <c r="GL2">
        <f t="shared" ca="1" si="4"/>
        <v>2</v>
      </c>
      <c r="GM2">
        <f t="shared" ca="1" si="4"/>
        <v>50</v>
      </c>
      <c r="GN2">
        <f t="shared" ca="1" si="4"/>
        <v>42.47</v>
      </c>
      <c r="GO2">
        <f t="shared" ca="1" si="4"/>
        <v>0</v>
      </c>
      <c r="GP2" s="335"/>
      <c r="GQ2" t="s">
        <v>388</v>
      </c>
      <c r="GR2">
        <v>45357</v>
      </c>
      <c r="GS2">
        <v>45328</v>
      </c>
      <c r="GT2">
        <v>3620</v>
      </c>
      <c r="GU2">
        <v>45357</v>
      </c>
      <c r="GV2">
        <v>3620</v>
      </c>
      <c r="GW2">
        <v>0.01</v>
      </c>
      <c r="GX2">
        <v>-34.9071</v>
      </c>
      <c r="GY2">
        <v>-56.199160999999997</v>
      </c>
      <c r="GZ2">
        <v>-34.907017000000003</v>
      </c>
      <c r="HA2">
        <v>-56.199171999999997</v>
      </c>
      <c r="HB2" t="e">
        <v>#REF!</v>
      </c>
      <c r="HC2">
        <v>1</v>
      </c>
      <c r="HD2">
        <v>3</v>
      </c>
      <c r="HE2">
        <v>1</v>
      </c>
      <c r="HF2">
        <v>2</v>
      </c>
      <c r="HG2">
        <v>2</v>
      </c>
      <c r="HH2">
        <v>2</v>
      </c>
      <c r="HI2">
        <v>2</v>
      </c>
      <c r="HJ2">
        <v>2</v>
      </c>
      <c r="HK2">
        <v>1</v>
      </c>
      <c r="HL2">
        <v>2</v>
      </c>
      <c r="HM2">
        <v>2</v>
      </c>
      <c r="HN2">
        <v>2</v>
      </c>
      <c r="HO2">
        <v>2</v>
      </c>
      <c r="HP2">
        <v>1</v>
      </c>
      <c r="HQ2">
        <v>2</v>
      </c>
      <c r="HR2">
        <v>2</v>
      </c>
      <c r="HS2">
        <v>1</v>
      </c>
      <c r="HT2">
        <v>1</v>
      </c>
      <c r="HU2">
        <v>2</v>
      </c>
      <c r="HV2">
        <v>2</v>
      </c>
      <c r="HW2">
        <v>2</v>
      </c>
      <c r="HX2">
        <v>2</v>
      </c>
      <c r="HY2">
        <v>2</v>
      </c>
      <c r="HZ2">
        <v>2</v>
      </c>
      <c r="IA2">
        <v>2</v>
      </c>
      <c r="IB2">
        <v>1</v>
      </c>
      <c r="IC2">
        <v>2</v>
      </c>
      <c r="ID2">
        <v>2</v>
      </c>
      <c r="IE2">
        <v>2</v>
      </c>
      <c r="IF2">
        <v>1</v>
      </c>
      <c r="IG2">
        <v>2</v>
      </c>
      <c r="IH2">
        <v>2</v>
      </c>
      <c r="II2">
        <v>1</v>
      </c>
      <c r="IJ2">
        <v>2</v>
      </c>
      <c r="IK2">
        <v>2</v>
      </c>
      <c r="IL2">
        <v>2</v>
      </c>
      <c r="IM2">
        <v>1</v>
      </c>
      <c r="IN2">
        <v>1</v>
      </c>
      <c r="IO2">
        <v>1</v>
      </c>
      <c r="IP2">
        <v>1874</v>
      </c>
      <c r="IQ2">
        <v>1</v>
      </c>
      <c r="IR2">
        <v>45</v>
      </c>
      <c r="IS2">
        <v>22.08</v>
      </c>
      <c r="IT2">
        <v>1</v>
      </c>
      <c r="IU2">
        <v>7</v>
      </c>
      <c r="IV2" t="s">
        <v>297</v>
      </c>
      <c r="IX2">
        <v>1.9089728669052337</v>
      </c>
      <c r="IY2">
        <v>0</v>
      </c>
      <c r="IZ2">
        <v>1.9089728669052337</v>
      </c>
      <c r="JA2">
        <v>12.486524268053728</v>
      </c>
      <c r="JB2">
        <v>1</v>
      </c>
    </row>
    <row r="3" spans="1:262" x14ac:dyDescent="0.25">
      <c r="A3" s="334"/>
      <c r="B3">
        <v>2</v>
      </c>
      <c r="C3" t="s">
        <v>382</v>
      </c>
      <c r="D3">
        <v>26</v>
      </c>
      <c r="E3" s="142" t="s">
        <v>49</v>
      </c>
      <c r="F3">
        <f>'Upload spec'!G49</f>
        <v>2</v>
      </c>
      <c r="G3" s="143" t="s">
        <v>323</v>
      </c>
      <c r="H3" s="143" t="s">
        <v>274</v>
      </c>
      <c r="I3" s="232">
        <v>15</v>
      </c>
      <c r="J3" s="267" t="s">
        <v>19</v>
      </c>
      <c r="K3" s="232">
        <f>'Upload spec'!G25</f>
        <v>1</v>
      </c>
      <c r="L3" s="314" t="s">
        <v>151</v>
      </c>
      <c r="Q3"/>
      <c r="R3" s="335"/>
      <c r="W3" s="161" t="s">
        <v>324</v>
      </c>
      <c r="X3" s="164">
        <v>1</v>
      </c>
      <c r="Y3" s="164">
        <v>2</v>
      </c>
      <c r="Z3" s="164">
        <v>3</v>
      </c>
      <c r="AA3" s="182">
        <v>4</v>
      </c>
      <c r="AB3" s="273">
        <v>5</v>
      </c>
      <c r="AC3" s="273">
        <v>6</v>
      </c>
      <c r="AD3" s="273">
        <v>7</v>
      </c>
      <c r="AE3" s="274">
        <v>8</v>
      </c>
      <c r="AF3" s="212">
        <v>1</v>
      </c>
      <c r="AG3" s="201">
        <v>2</v>
      </c>
      <c r="AH3" s="201">
        <v>3</v>
      </c>
      <c r="AI3" s="269">
        <v>4</v>
      </c>
      <c r="AJ3" s="270">
        <v>5</v>
      </c>
      <c r="AK3" s="201">
        <v>1</v>
      </c>
      <c r="AL3" s="270">
        <v>2</v>
      </c>
      <c r="AM3" s="218">
        <v>1</v>
      </c>
      <c r="AN3" s="275">
        <v>1</v>
      </c>
      <c r="AO3" s="218">
        <v>1</v>
      </c>
      <c r="AP3" s="218">
        <v>1</v>
      </c>
      <c r="AQ3" s="218">
        <v>2</v>
      </c>
      <c r="AR3" s="218">
        <v>3</v>
      </c>
      <c r="AS3" s="275">
        <v>4</v>
      </c>
      <c r="AT3" s="275">
        <v>5</v>
      </c>
      <c r="AU3" s="275">
        <v>6</v>
      </c>
      <c r="AV3" s="218">
        <v>1</v>
      </c>
      <c r="AW3" s="218">
        <v>2</v>
      </c>
      <c r="AX3" s="218">
        <v>3</v>
      </c>
      <c r="AY3" s="218">
        <v>4</v>
      </c>
      <c r="AZ3" s="218">
        <v>5</v>
      </c>
      <c r="BA3" s="218">
        <v>6</v>
      </c>
      <c r="BB3" s="275">
        <v>7</v>
      </c>
      <c r="BC3" s="218">
        <v>1</v>
      </c>
      <c r="BD3" s="218">
        <v>1</v>
      </c>
      <c r="BE3" s="218">
        <v>2</v>
      </c>
      <c r="BF3" s="218">
        <v>3</v>
      </c>
      <c r="BG3" s="275">
        <v>4</v>
      </c>
      <c r="BH3" s="218">
        <v>1</v>
      </c>
      <c r="BI3" s="218">
        <v>2</v>
      </c>
      <c r="BJ3" s="218">
        <v>3</v>
      </c>
      <c r="BK3" s="218">
        <v>4</v>
      </c>
      <c r="BL3" s="218">
        <v>5</v>
      </c>
      <c r="BM3" s="218">
        <v>6</v>
      </c>
      <c r="BN3" s="218">
        <v>1</v>
      </c>
      <c r="BO3" s="218">
        <v>2</v>
      </c>
      <c r="BP3" s="218">
        <v>3</v>
      </c>
      <c r="BQ3" s="218">
        <v>1</v>
      </c>
      <c r="BR3" s="218">
        <v>2</v>
      </c>
      <c r="BS3" s="218">
        <v>3</v>
      </c>
      <c r="BT3" s="218">
        <v>1</v>
      </c>
      <c r="BU3" s="218">
        <v>2</v>
      </c>
      <c r="BV3" s="218">
        <v>3</v>
      </c>
      <c r="BW3" s="218">
        <v>1</v>
      </c>
      <c r="BX3" s="218">
        <v>1</v>
      </c>
      <c r="BY3" s="218">
        <v>2</v>
      </c>
      <c r="BZ3" s="218">
        <v>3</v>
      </c>
      <c r="CA3" s="218">
        <v>4</v>
      </c>
      <c r="CB3" s="218">
        <v>5</v>
      </c>
      <c r="CC3" s="218">
        <v>6</v>
      </c>
      <c r="CD3" s="218">
        <v>1</v>
      </c>
      <c r="CE3" s="218">
        <v>2</v>
      </c>
      <c r="CF3" s="218">
        <v>3</v>
      </c>
      <c r="CG3" s="218">
        <v>4</v>
      </c>
      <c r="CH3" s="218">
        <v>5</v>
      </c>
      <c r="CI3" s="218">
        <v>6</v>
      </c>
      <c r="CJ3" s="218">
        <v>7</v>
      </c>
      <c r="CK3" s="218">
        <v>1</v>
      </c>
      <c r="CL3" s="218">
        <v>2</v>
      </c>
      <c r="CM3" s="218">
        <v>3</v>
      </c>
      <c r="CN3" s="218">
        <v>4</v>
      </c>
      <c r="CO3" s="218">
        <v>1</v>
      </c>
      <c r="CP3" s="218">
        <v>2</v>
      </c>
      <c r="CQ3" s="218">
        <v>3</v>
      </c>
      <c r="CR3" s="218">
        <v>4</v>
      </c>
      <c r="CS3" s="218">
        <v>1</v>
      </c>
      <c r="CT3" s="218">
        <v>2</v>
      </c>
      <c r="CU3" s="218">
        <v>3</v>
      </c>
      <c r="CV3" s="218">
        <v>4</v>
      </c>
      <c r="CW3" s="218">
        <v>5</v>
      </c>
      <c r="CX3" s="218">
        <v>6</v>
      </c>
      <c r="CY3" s="275">
        <v>7</v>
      </c>
      <c r="CZ3" s="218">
        <v>1</v>
      </c>
      <c r="DA3" s="218">
        <v>1</v>
      </c>
      <c r="DB3" s="275">
        <v>2</v>
      </c>
      <c r="DC3" s="218">
        <v>1</v>
      </c>
      <c r="DD3" s="218">
        <v>2</v>
      </c>
      <c r="DE3" s="218">
        <v>3</v>
      </c>
      <c r="DF3" s="218">
        <v>4</v>
      </c>
      <c r="DG3" s="218">
        <v>5</v>
      </c>
      <c r="DH3" s="218">
        <v>1</v>
      </c>
      <c r="DI3" s="218">
        <v>1</v>
      </c>
      <c r="DJ3" s="218">
        <v>2</v>
      </c>
      <c r="DK3" s="218">
        <v>3</v>
      </c>
      <c r="DL3" s="218">
        <v>4</v>
      </c>
      <c r="DM3" s="275">
        <v>1</v>
      </c>
      <c r="DN3" s="275">
        <v>2</v>
      </c>
      <c r="DO3" s="275">
        <v>3</v>
      </c>
      <c r="DP3" s="275">
        <v>4</v>
      </c>
      <c r="DQ3" s="218">
        <v>1</v>
      </c>
      <c r="DR3" s="218">
        <v>1</v>
      </c>
      <c r="DS3" s="218">
        <v>2</v>
      </c>
      <c r="DT3" s="218">
        <v>3</v>
      </c>
      <c r="DU3" s="218">
        <v>4</v>
      </c>
      <c r="DV3" s="218">
        <v>5</v>
      </c>
      <c r="DW3" s="218">
        <v>6</v>
      </c>
      <c r="DX3" s="218">
        <v>7</v>
      </c>
      <c r="DZ3" s="156"/>
      <c r="EA3" s="156"/>
      <c r="EB3" s="335"/>
      <c r="EC3">
        <v>2</v>
      </c>
      <c r="ED3" t="s">
        <v>382</v>
      </c>
      <c r="EE3" t="b" cm="1">
        <f t="array" ref="EE3">IF(SUMPRODUCT(--($EC3=$X$2:$DX$2),--($X$9:$DX$9))&gt;=1,TRUE,FALSE)</f>
        <v>0</v>
      </c>
      <c r="EF3" s="29" t="str">
        <f>'CycleRAP Model'!K4</f>
        <v>Coding date</v>
      </c>
      <c r="EG3">
        <f>'CycleRAP Model'!O4</f>
        <v>45076</v>
      </c>
      <c r="EH3" s="335"/>
      <c r="EI3">
        <v>2</v>
      </c>
      <c r="EJ3" t="s">
        <v>382</v>
      </c>
      <c r="EK3" t="b">
        <f t="shared" ref="EK3:EK27" si="5">EE3</f>
        <v>0</v>
      </c>
      <c r="EL3" t="str">
        <f t="shared" ca="1" si="0"/>
        <v>Gabriel G</v>
      </c>
      <c r="EM3">
        <f t="shared" ca="1" si="0"/>
        <v>45076</v>
      </c>
      <c r="EN3">
        <f t="shared" ca="1" si="0"/>
        <v>45076</v>
      </c>
      <c r="EO3" t="str">
        <f t="shared" ca="1" si="0"/>
        <v>F004560</v>
      </c>
      <c r="EP3" t="str">
        <f t="shared" ca="1" si="0"/>
        <v>Carrera 30</v>
      </c>
      <c r="EQ3">
        <f t="shared" ca="1" si="0"/>
        <v>4560</v>
      </c>
      <c r="ER3">
        <f t="shared" ca="1" si="0"/>
        <v>0.01</v>
      </c>
      <c r="ES3">
        <f t="shared" ca="1" si="0"/>
        <v>4.6501536000000003</v>
      </c>
      <c r="ET3">
        <f t="shared" ca="1" si="0"/>
        <v>-74.078029700000002</v>
      </c>
      <c r="EU3">
        <f t="shared" ca="1" si="0"/>
        <v>4.6502423000000004</v>
      </c>
      <c r="EV3">
        <f t="shared" ca="1" si="0"/>
        <v>-74.078021500000006</v>
      </c>
      <c r="EW3" t="e">
        <f t="shared" ca="1" si="0"/>
        <v>#REF!</v>
      </c>
      <c r="EX3">
        <f t="shared" ca="1" si="1"/>
        <v>2</v>
      </c>
      <c r="EY3">
        <f t="shared" ca="1" si="1"/>
        <v>3</v>
      </c>
      <c r="EZ3">
        <f t="shared" ca="1" si="1"/>
        <v>1</v>
      </c>
      <c r="FA3">
        <f t="shared" ca="1" si="1"/>
        <v>2</v>
      </c>
      <c r="FB3">
        <f t="shared" ca="1" si="1"/>
        <v>2</v>
      </c>
      <c r="FC3">
        <f t="shared" ca="1" si="1"/>
        <v>2</v>
      </c>
      <c r="FD3">
        <f t="shared" ca="1" si="1"/>
        <v>2</v>
      </c>
      <c r="FE3">
        <f t="shared" ca="1" si="1"/>
        <v>2</v>
      </c>
      <c r="FF3">
        <f t="shared" ca="1" si="1"/>
        <v>2</v>
      </c>
      <c r="FG3">
        <f t="shared" ca="1" si="1"/>
        <v>1</v>
      </c>
      <c r="FH3">
        <f t="shared" ca="1" si="2"/>
        <v>1</v>
      </c>
      <c r="FI3">
        <f t="shared" ca="1" si="2"/>
        <v>2</v>
      </c>
      <c r="FJ3">
        <f t="shared" ca="1" si="2"/>
        <v>2</v>
      </c>
      <c r="FK3">
        <f t="shared" ca="1" si="2"/>
        <v>2</v>
      </c>
      <c r="FL3">
        <f t="shared" ca="1" si="2"/>
        <v>2</v>
      </c>
      <c r="FM3">
        <f t="shared" ca="1" si="2"/>
        <v>2</v>
      </c>
      <c r="FN3">
        <f t="shared" ca="1" si="2"/>
        <v>1</v>
      </c>
      <c r="FO3">
        <f t="shared" ca="1" si="2"/>
        <v>1</v>
      </c>
      <c r="FP3">
        <f t="shared" ca="1" si="2"/>
        <v>2</v>
      </c>
      <c r="FQ3">
        <f t="shared" ca="1" si="2"/>
        <v>2</v>
      </c>
      <c r="FR3">
        <f t="shared" ca="1" si="3"/>
        <v>2</v>
      </c>
      <c r="FS3">
        <f t="shared" ca="1" si="3"/>
        <v>2</v>
      </c>
      <c r="FT3">
        <f t="shared" ca="1" si="3"/>
        <v>2</v>
      </c>
      <c r="FU3">
        <f t="shared" ca="1" si="3"/>
        <v>1</v>
      </c>
      <c r="FV3">
        <f t="shared" ca="1" si="3"/>
        <v>2</v>
      </c>
      <c r="FW3">
        <f t="shared" ca="1" si="3"/>
        <v>1</v>
      </c>
      <c r="FX3">
        <f t="shared" ca="1" si="3"/>
        <v>2</v>
      </c>
      <c r="FY3">
        <f t="shared" ca="1" si="3"/>
        <v>2</v>
      </c>
      <c r="FZ3">
        <f t="shared" ca="1" si="3"/>
        <v>2</v>
      </c>
      <c r="GA3">
        <f t="shared" ca="1" si="3"/>
        <v>2</v>
      </c>
      <c r="GB3">
        <f t="shared" ca="1" si="4"/>
        <v>2</v>
      </c>
      <c r="GC3">
        <f t="shared" ca="1" si="4"/>
        <v>2</v>
      </c>
      <c r="GD3">
        <f t="shared" ca="1" si="4"/>
        <v>1</v>
      </c>
      <c r="GE3">
        <f t="shared" ca="1" si="4"/>
        <v>2</v>
      </c>
      <c r="GF3">
        <f t="shared" ca="1" si="4"/>
        <v>3</v>
      </c>
      <c r="GG3">
        <f t="shared" ca="1" si="4"/>
        <v>2</v>
      </c>
      <c r="GH3">
        <f t="shared" ca="1" si="4"/>
        <v>2</v>
      </c>
      <c r="GI3">
        <f t="shared" ca="1" si="4"/>
        <v>1</v>
      </c>
      <c r="GJ3">
        <f t="shared" ca="1" si="4"/>
        <v>1</v>
      </c>
      <c r="GK3">
        <f t="shared" ca="1" si="4"/>
        <v>39500</v>
      </c>
      <c r="GL3">
        <f t="shared" ca="1" si="4"/>
        <v>2</v>
      </c>
      <c r="GM3">
        <f t="shared" ca="1" si="4"/>
        <v>50</v>
      </c>
      <c r="GN3">
        <f t="shared" ca="1" si="4"/>
        <v>42.47</v>
      </c>
      <c r="GO3">
        <f t="shared" ca="1" si="4"/>
        <v>0</v>
      </c>
      <c r="GP3" s="335"/>
      <c r="GQ3" t="s">
        <v>388</v>
      </c>
      <c r="GR3">
        <v>45357</v>
      </c>
      <c r="GS3">
        <v>45328</v>
      </c>
      <c r="GT3">
        <v>3620</v>
      </c>
      <c r="GU3">
        <v>45357</v>
      </c>
      <c r="GV3">
        <v>3620</v>
      </c>
      <c r="GW3">
        <v>0.01</v>
      </c>
      <c r="GX3">
        <v>-34.9071</v>
      </c>
      <c r="GY3">
        <v>-56.199160999999997</v>
      </c>
      <c r="GZ3">
        <v>-34.907017000000003</v>
      </c>
      <c r="HA3">
        <v>-56.199171999999997</v>
      </c>
      <c r="HB3" t="e">
        <v>#REF!</v>
      </c>
      <c r="HC3">
        <v>1</v>
      </c>
      <c r="HD3">
        <v>4</v>
      </c>
      <c r="HE3">
        <v>1</v>
      </c>
      <c r="HF3">
        <v>2</v>
      </c>
      <c r="HG3">
        <v>2</v>
      </c>
      <c r="HH3">
        <v>2</v>
      </c>
      <c r="HI3">
        <v>2</v>
      </c>
      <c r="HJ3">
        <v>2</v>
      </c>
      <c r="HK3">
        <v>1</v>
      </c>
      <c r="HL3">
        <v>2</v>
      </c>
      <c r="HM3">
        <v>2</v>
      </c>
      <c r="HN3">
        <v>1</v>
      </c>
      <c r="HO3">
        <v>2</v>
      </c>
      <c r="HP3">
        <v>1</v>
      </c>
      <c r="HQ3">
        <v>2</v>
      </c>
      <c r="HR3">
        <v>2</v>
      </c>
      <c r="HS3">
        <v>1</v>
      </c>
      <c r="HT3">
        <v>1</v>
      </c>
      <c r="HU3">
        <v>2</v>
      </c>
      <c r="HV3">
        <v>2</v>
      </c>
      <c r="HW3">
        <v>2</v>
      </c>
      <c r="HX3">
        <v>2</v>
      </c>
      <c r="HY3">
        <v>2</v>
      </c>
      <c r="HZ3">
        <v>2</v>
      </c>
      <c r="IA3">
        <v>2</v>
      </c>
      <c r="IB3">
        <v>1</v>
      </c>
      <c r="IC3">
        <v>2</v>
      </c>
      <c r="ID3">
        <v>2</v>
      </c>
      <c r="IE3">
        <v>2</v>
      </c>
      <c r="IF3">
        <v>1</v>
      </c>
      <c r="IG3">
        <v>2</v>
      </c>
      <c r="IH3">
        <v>2</v>
      </c>
      <c r="II3">
        <v>1</v>
      </c>
      <c r="IJ3">
        <v>2</v>
      </c>
      <c r="IK3">
        <v>2</v>
      </c>
      <c r="IL3">
        <v>2</v>
      </c>
      <c r="IM3">
        <v>1</v>
      </c>
      <c r="IN3">
        <v>1</v>
      </c>
      <c r="IO3">
        <v>1</v>
      </c>
      <c r="IP3">
        <v>1874</v>
      </c>
      <c r="IQ3">
        <v>1</v>
      </c>
      <c r="IR3">
        <v>45</v>
      </c>
      <c r="IS3">
        <v>22.08</v>
      </c>
      <c r="IT3">
        <v>1</v>
      </c>
      <c r="IU3">
        <v>8</v>
      </c>
      <c r="IV3" t="s">
        <v>298</v>
      </c>
      <c r="IX3">
        <v>1.9089728669052337</v>
      </c>
      <c r="IY3">
        <v>0</v>
      </c>
      <c r="IZ3">
        <v>1.9089728669052337</v>
      </c>
      <c r="JA3">
        <v>12.486524268053728</v>
      </c>
      <c r="JB3">
        <v>2</v>
      </c>
    </row>
    <row r="4" spans="1:262" x14ac:dyDescent="0.25">
      <c r="A4" s="334"/>
      <c r="B4" s="232">
        <v>3</v>
      </c>
      <c r="C4" s="232" t="s">
        <v>381</v>
      </c>
      <c r="D4">
        <v>31</v>
      </c>
      <c r="E4" s="147" t="s">
        <v>63</v>
      </c>
      <c r="F4">
        <v>2</v>
      </c>
      <c r="G4" s="150" t="s">
        <v>323</v>
      </c>
      <c r="H4" s="143" t="s">
        <v>274</v>
      </c>
      <c r="I4" s="232">
        <v>15</v>
      </c>
      <c r="J4" s="267" t="s">
        <v>19</v>
      </c>
      <c r="K4" s="232">
        <f>'Upload spec'!G26</f>
        <v>2</v>
      </c>
      <c r="L4" s="314" t="s">
        <v>151</v>
      </c>
      <c r="Q4"/>
      <c r="R4" s="335"/>
      <c r="W4" s="161"/>
      <c r="X4" s="315"/>
      <c r="Y4" s="315"/>
      <c r="Z4" s="315"/>
      <c r="AA4" s="316"/>
      <c r="AB4" s="317"/>
      <c r="AC4" s="317"/>
      <c r="AD4" s="317"/>
      <c r="AE4" s="318"/>
      <c r="AF4" s="212"/>
      <c r="AG4" s="201"/>
      <c r="AH4" s="201"/>
      <c r="AI4" s="269"/>
      <c r="AJ4" s="270"/>
      <c r="AK4" s="201"/>
      <c r="AL4" s="270"/>
      <c r="AM4" s="218"/>
      <c r="AN4" s="275"/>
      <c r="AO4" s="218"/>
      <c r="AP4" s="218"/>
      <c r="AQ4" s="218"/>
      <c r="AR4" s="218"/>
      <c r="AS4" s="275"/>
      <c r="AT4" s="275"/>
      <c r="AU4" s="275"/>
      <c r="AV4" s="218"/>
      <c r="AW4" s="218"/>
      <c r="AX4" s="218"/>
      <c r="AY4" s="218"/>
      <c r="AZ4" s="218"/>
      <c r="BA4" s="218"/>
      <c r="BB4" s="275"/>
      <c r="BC4" s="218"/>
      <c r="BD4" s="218"/>
      <c r="BE4" s="218"/>
      <c r="BF4" s="218"/>
      <c r="BG4" s="275"/>
      <c r="BH4" s="218"/>
      <c r="BI4" s="218"/>
      <c r="BJ4" s="218"/>
      <c r="BK4" s="218"/>
      <c r="BL4" s="218"/>
      <c r="BM4" s="218"/>
      <c r="BN4" s="218"/>
      <c r="BO4" s="218"/>
      <c r="BP4" s="218"/>
      <c r="BQ4" s="218"/>
      <c r="BR4" s="218"/>
      <c r="BS4" s="218"/>
      <c r="BT4" s="218"/>
      <c r="BU4" s="218"/>
      <c r="BV4" s="218"/>
      <c r="BW4" s="218"/>
      <c r="BX4" s="218"/>
      <c r="BY4" s="218"/>
      <c r="BZ4" s="218"/>
      <c r="CA4" s="218"/>
      <c r="CB4" s="218"/>
      <c r="CC4" s="218"/>
      <c r="CD4" s="218"/>
      <c r="CE4" s="218"/>
      <c r="CF4" s="218"/>
      <c r="CG4" s="218"/>
      <c r="CH4" s="218"/>
      <c r="CI4" s="218"/>
      <c r="CJ4" s="218"/>
      <c r="CK4" s="218"/>
      <c r="CL4" s="218"/>
      <c r="CM4" s="218"/>
      <c r="CN4" s="218"/>
      <c r="CO4" s="218"/>
      <c r="CP4" s="218"/>
      <c r="CQ4" s="218"/>
      <c r="CR4" s="218"/>
      <c r="CS4" s="218"/>
      <c r="CT4" s="218"/>
      <c r="CU4" s="218"/>
      <c r="CV4" s="218"/>
      <c r="CW4" s="218"/>
      <c r="CX4" s="218"/>
      <c r="CY4" s="275"/>
      <c r="CZ4" s="218"/>
      <c r="DA4" s="218"/>
      <c r="DB4" s="275"/>
      <c r="DC4" s="218"/>
      <c r="DD4" s="218"/>
      <c r="DE4" s="218"/>
      <c r="DF4" s="218"/>
      <c r="DG4" s="218"/>
      <c r="DH4" s="218"/>
      <c r="DI4" s="218"/>
      <c r="DJ4" s="218"/>
      <c r="DK4" s="218"/>
      <c r="DL4" s="218"/>
      <c r="DM4" s="275"/>
      <c r="DN4" s="275"/>
      <c r="DO4" s="275"/>
      <c r="DP4" s="275"/>
      <c r="DQ4" s="218"/>
      <c r="DR4" s="218"/>
      <c r="DS4" s="218"/>
      <c r="DT4" s="218"/>
      <c r="DU4" s="218"/>
      <c r="DV4" s="218"/>
      <c r="DW4" s="218"/>
      <c r="DX4" s="218"/>
      <c r="DZ4" s="156"/>
      <c r="EA4" s="156"/>
      <c r="EB4" s="335"/>
      <c r="EC4" s="232">
        <v>3</v>
      </c>
      <c r="ED4" s="232" t="s">
        <v>381</v>
      </c>
      <c r="EE4" t="b" cm="1">
        <f t="array" ref="EE4">IF(SUMPRODUCT(--($EC4=$X$2:$DX$2),--($X$9:$DX$9))&gt;=1,TRUE,FALSE)</f>
        <v>0</v>
      </c>
      <c r="EF4" s="29" t="str">
        <f>'CycleRAP Model'!K5</f>
        <v>Image capture date</v>
      </c>
      <c r="EG4">
        <f>'CycleRAP Model'!O5</f>
        <v>45076</v>
      </c>
      <c r="EH4" s="335"/>
      <c r="EI4" s="232">
        <v>3</v>
      </c>
      <c r="EJ4" s="232" t="s">
        <v>381</v>
      </c>
      <c r="EK4" t="b">
        <f t="shared" ref="EK4" si="6">EE4</f>
        <v>0</v>
      </c>
      <c r="EL4" t="str">
        <f t="shared" ca="1" si="0"/>
        <v>Gabriel G</v>
      </c>
      <c r="EM4">
        <f t="shared" ca="1" si="0"/>
        <v>45076</v>
      </c>
      <c r="EN4">
        <f t="shared" ca="1" si="0"/>
        <v>45076</v>
      </c>
      <c r="EO4" t="str">
        <f t="shared" ca="1" si="0"/>
        <v>F004560</v>
      </c>
      <c r="EP4" t="str">
        <f t="shared" ca="1" si="0"/>
        <v>Carrera 30</v>
      </c>
      <c r="EQ4">
        <f t="shared" ca="1" si="0"/>
        <v>4560</v>
      </c>
      <c r="ER4">
        <f t="shared" ca="1" si="0"/>
        <v>0.01</v>
      </c>
      <c r="ES4">
        <f t="shared" ca="1" si="0"/>
        <v>4.6501536000000003</v>
      </c>
      <c r="ET4">
        <f t="shared" ca="1" si="0"/>
        <v>-74.078029700000002</v>
      </c>
      <c r="EU4">
        <f t="shared" ca="1" si="0"/>
        <v>4.6502423000000004</v>
      </c>
      <c r="EV4">
        <f t="shared" ca="1" si="0"/>
        <v>-74.078021500000006</v>
      </c>
      <c r="EW4" t="e">
        <f t="shared" ca="1" si="0"/>
        <v>#REF!</v>
      </c>
      <c r="EX4">
        <f t="shared" ca="1" si="1"/>
        <v>2</v>
      </c>
      <c r="EY4">
        <f t="shared" ca="1" si="1"/>
        <v>3</v>
      </c>
      <c r="EZ4">
        <f t="shared" ca="1" si="1"/>
        <v>1</v>
      </c>
      <c r="FA4">
        <f t="shared" ca="1" si="1"/>
        <v>2</v>
      </c>
      <c r="FB4">
        <f t="shared" ca="1" si="1"/>
        <v>2</v>
      </c>
      <c r="FC4">
        <f t="shared" ca="1" si="1"/>
        <v>2</v>
      </c>
      <c r="FD4">
        <f t="shared" ca="1" si="1"/>
        <v>2</v>
      </c>
      <c r="FE4">
        <f t="shared" ca="1" si="1"/>
        <v>2</v>
      </c>
      <c r="FF4">
        <f t="shared" ca="1" si="1"/>
        <v>2</v>
      </c>
      <c r="FG4">
        <f t="shared" ca="1" si="1"/>
        <v>1</v>
      </c>
      <c r="FH4">
        <f t="shared" ca="1" si="2"/>
        <v>1</v>
      </c>
      <c r="FI4">
        <f t="shared" ca="1" si="2"/>
        <v>2</v>
      </c>
      <c r="FJ4">
        <f t="shared" ca="1" si="2"/>
        <v>2</v>
      </c>
      <c r="FK4">
        <f t="shared" ca="1" si="2"/>
        <v>2</v>
      </c>
      <c r="FL4">
        <f t="shared" ca="1" si="2"/>
        <v>2</v>
      </c>
      <c r="FM4">
        <f t="shared" ca="1" si="2"/>
        <v>2</v>
      </c>
      <c r="FN4">
        <f t="shared" ca="1" si="2"/>
        <v>1</v>
      </c>
      <c r="FO4">
        <f t="shared" ca="1" si="2"/>
        <v>1</v>
      </c>
      <c r="FP4">
        <f t="shared" ca="1" si="2"/>
        <v>2</v>
      </c>
      <c r="FQ4">
        <f t="shared" ca="1" si="2"/>
        <v>2</v>
      </c>
      <c r="FR4">
        <f t="shared" ca="1" si="3"/>
        <v>2</v>
      </c>
      <c r="FS4">
        <f t="shared" ca="1" si="3"/>
        <v>2</v>
      </c>
      <c r="FT4">
        <f t="shared" ca="1" si="3"/>
        <v>2</v>
      </c>
      <c r="FU4">
        <f t="shared" ca="1" si="3"/>
        <v>1</v>
      </c>
      <c r="FV4">
        <f t="shared" ca="1" si="3"/>
        <v>2</v>
      </c>
      <c r="FW4">
        <f t="shared" ca="1" si="3"/>
        <v>1</v>
      </c>
      <c r="FX4">
        <f t="shared" ca="1" si="3"/>
        <v>2</v>
      </c>
      <c r="FY4">
        <f t="shared" ca="1" si="3"/>
        <v>2</v>
      </c>
      <c r="FZ4">
        <f t="shared" ca="1" si="3"/>
        <v>2</v>
      </c>
      <c r="GA4">
        <f t="shared" ca="1" si="3"/>
        <v>2</v>
      </c>
      <c r="GB4">
        <f t="shared" ca="1" si="4"/>
        <v>2</v>
      </c>
      <c r="GC4">
        <f t="shared" ca="1" si="4"/>
        <v>2</v>
      </c>
      <c r="GD4">
        <f t="shared" ca="1" si="4"/>
        <v>1</v>
      </c>
      <c r="GE4">
        <f t="shared" ca="1" si="4"/>
        <v>2</v>
      </c>
      <c r="GF4">
        <f t="shared" ca="1" si="4"/>
        <v>3</v>
      </c>
      <c r="GG4">
        <f t="shared" ca="1" si="4"/>
        <v>2</v>
      </c>
      <c r="GH4">
        <f t="shared" ca="1" si="4"/>
        <v>2</v>
      </c>
      <c r="GI4">
        <f t="shared" ca="1" si="4"/>
        <v>1</v>
      </c>
      <c r="GJ4">
        <f t="shared" ca="1" si="4"/>
        <v>1</v>
      </c>
      <c r="GK4">
        <f t="shared" ca="1" si="4"/>
        <v>39500</v>
      </c>
      <c r="GL4">
        <f t="shared" ca="1" si="4"/>
        <v>2</v>
      </c>
      <c r="GM4">
        <f t="shared" ca="1" si="4"/>
        <v>50</v>
      </c>
      <c r="GN4">
        <f t="shared" ca="1" si="4"/>
        <v>42.47</v>
      </c>
      <c r="GO4">
        <f t="shared" ca="1" si="4"/>
        <v>0</v>
      </c>
      <c r="GP4" s="335"/>
      <c r="GQ4" t="s">
        <v>388</v>
      </c>
      <c r="GR4">
        <v>45357</v>
      </c>
      <c r="GS4">
        <v>45328</v>
      </c>
      <c r="GT4">
        <v>3620</v>
      </c>
      <c r="GU4">
        <v>45357</v>
      </c>
      <c r="GV4">
        <v>3620</v>
      </c>
      <c r="GW4">
        <v>0.01</v>
      </c>
      <c r="GX4">
        <v>-34.9071</v>
      </c>
      <c r="GY4">
        <v>-56.199160999999997</v>
      </c>
      <c r="GZ4">
        <v>-34.907017000000003</v>
      </c>
      <c r="HA4">
        <v>-56.199171999999997</v>
      </c>
      <c r="HB4" t="e">
        <v>#REF!</v>
      </c>
      <c r="HC4">
        <v>1</v>
      </c>
      <c r="HD4">
        <v>4</v>
      </c>
      <c r="HE4">
        <v>1</v>
      </c>
      <c r="HF4">
        <v>2</v>
      </c>
      <c r="HG4">
        <v>2</v>
      </c>
      <c r="HH4">
        <v>2</v>
      </c>
      <c r="HI4">
        <v>2</v>
      </c>
      <c r="HJ4">
        <v>2</v>
      </c>
      <c r="HK4">
        <v>1</v>
      </c>
      <c r="HL4">
        <v>2</v>
      </c>
      <c r="HM4">
        <v>3</v>
      </c>
      <c r="HN4">
        <v>2</v>
      </c>
      <c r="HO4">
        <v>2</v>
      </c>
      <c r="HP4">
        <v>1</v>
      </c>
      <c r="HQ4">
        <v>2</v>
      </c>
      <c r="HR4">
        <v>2</v>
      </c>
      <c r="HS4">
        <v>1</v>
      </c>
      <c r="HT4">
        <v>1</v>
      </c>
      <c r="HU4">
        <v>2</v>
      </c>
      <c r="HV4">
        <v>2</v>
      </c>
      <c r="HW4">
        <v>2</v>
      </c>
      <c r="HX4">
        <v>2</v>
      </c>
      <c r="HY4">
        <v>2</v>
      </c>
      <c r="HZ4">
        <v>2</v>
      </c>
      <c r="IA4">
        <v>2</v>
      </c>
      <c r="IB4">
        <v>1</v>
      </c>
      <c r="IC4">
        <v>2</v>
      </c>
      <c r="ID4">
        <v>2</v>
      </c>
      <c r="IE4">
        <v>2</v>
      </c>
      <c r="IF4">
        <v>1</v>
      </c>
      <c r="IG4">
        <v>2</v>
      </c>
      <c r="IH4">
        <v>2</v>
      </c>
      <c r="II4">
        <v>1</v>
      </c>
      <c r="IJ4">
        <v>2</v>
      </c>
      <c r="IK4">
        <v>2</v>
      </c>
      <c r="IL4">
        <v>2</v>
      </c>
      <c r="IM4">
        <v>1</v>
      </c>
      <c r="IN4">
        <v>1</v>
      </c>
      <c r="IO4">
        <v>1</v>
      </c>
      <c r="IP4">
        <v>1874</v>
      </c>
      <c r="IQ4">
        <v>1</v>
      </c>
      <c r="IR4">
        <v>45</v>
      </c>
      <c r="IS4">
        <v>22.08</v>
      </c>
      <c r="IT4">
        <v>1</v>
      </c>
      <c r="IU4">
        <v>17</v>
      </c>
      <c r="IV4" t="s">
        <v>304</v>
      </c>
      <c r="IX4">
        <v>1.9089728669052337</v>
      </c>
      <c r="IY4">
        <v>0</v>
      </c>
      <c r="IZ4">
        <v>1.9089728669052337</v>
      </c>
      <c r="JA4">
        <v>12.486524268053728</v>
      </c>
      <c r="JB4">
        <v>3</v>
      </c>
    </row>
    <row r="5" spans="1:262" ht="22.8" x14ac:dyDescent="0.25">
      <c r="A5" s="334"/>
      <c r="B5">
        <v>4</v>
      </c>
      <c r="C5" t="s">
        <v>295</v>
      </c>
      <c r="D5">
        <v>55</v>
      </c>
      <c r="E5" s="142" t="s">
        <v>67</v>
      </c>
      <c r="F5">
        <v>20</v>
      </c>
      <c r="G5" s="143">
        <v>20</v>
      </c>
      <c r="H5" s="143" t="s">
        <v>274</v>
      </c>
      <c r="I5" s="232">
        <v>15</v>
      </c>
      <c r="J5" s="267" t="s">
        <v>19</v>
      </c>
      <c r="K5" s="232">
        <f>'Upload spec'!G25</f>
        <v>1</v>
      </c>
      <c r="L5" s="314" t="s">
        <v>151</v>
      </c>
      <c r="Q5"/>
      <c r="R5" s="335"/>
      <c r="W5" s="161" t="s">
        <v>325</v>
      </c>
      <c r="X5" s="196" cm="1">
        <f t="array" ref="X5">MAX(--(X22:X25))+MAX(--(X26:X29))+MAX(--(X32:X33))+MAX(--(X34:X35))+MAX(--(X36:X37))+MAX(--(X38:X39))+MAX(--(X40:X41))+MAX(--(X42:X43))+MAX(--(X44:X45))+MAX(--(X46:X47))+MAX(--(X48:X49))+MAX(--(X51:X52))+MAX(--(X53:X54))+MAX(--(X55:X56))+MAX(--(X57:X58))+MAX(--(X59:X60))+MAX(--(X61:X62))+MAX(--(X63:X64))+MAX(--(X65:X66))+MAX(--(X67:X68))+MAX(--(X69:X70))+MAX(--(X71:X72))+MAX(--(X73:X74))+MAX(--(X75:X76))+MAX(--(X77:X78))+MAX(--(X79:X80))+MAX(--(X81:X82))+MAX(--(X83:X84))+MAX(--(X85:X86))+MAX(--(X87:X88))+MAX(--(X89:X90))+MAX(--(X91:X92))+MAX(--(X93:X94))+MAX(--(X95:X96))+MAX(--(X97:X99))+MAX(--(X100:X101))+MAX(--(X102:X103))+MAX(--(X104:X105))+MAX(--(X106:X107))+MAX(--(X112:X113))+MAX(--(X119:X120))</f>
        <v>3</v>
      </c>
      <c r="Y5" s="196" cm="1">
        <f t="array" ref="Y5">MAX(--(Y22:Y25))+MAX(--(Y26:Y29))+MAX(--(Y32:Y33))+MAX(--(Y34:Y35))+MAX(--(Y36:Y37))+MAX(--(Y38:Y39))+MAX(--(Y40:Y41))+MAX(--(Y42:Y43))+MAX(--(Y44:Y45))+MAX(--(Y46:Y47))+MAX(--(Y48:Y49))+MAX(--(Y51:Y52))+MAX(--(Y53:Y54))+MAX(--(Y55:Y56))+MAX(--(Y57:Y58))+MAX(--(Y59:Y60))+MAX(--(Y61:Y62))+MAX(--(Y63:Y64))+MAX(--(Y65:Y66))+MAX(--(Y67:Y68))+MAX(--(Y69:Y70))+MAX(--(Y71:Y72))+MAX(--(Y73:Y74))+MAX(--(Y75:Y76))+MAX(--(Y77:Y78))+MAX(--(Y79:Y80))+MAX(--(Y81:Y82))+MAX(--(Y83:Y84))+MAX(--(Y85:Y86))+MAX(--(Y87:Y88))+MAX(--(Y89:Y90))+MAX(--(Y91:Y92))+MAX(--(Y93:Y94))+MAX(--(Y95:Y96))+MAX(--(Y97:Y99))+MAX(--(Y100:Y101))+MAX(--(Y102:Y103))+MAX(--(Y104:Y105))+MAX(--(Y106:Y107))+MAX(--(Y112:Y113))+MAX(--(Y119:Y120))</f>
        <v>2</v>
      </c>
      <c r="Z5" s="196" cm="1">
        <f t="array" ref="Z5">MAX(--(Z22:Z25))+MAX(--(Z26:Z29))+MAX(--(Z32:Z33))+MAX(--(Z34:Z35))+MAX(--(Z36:Z37))+MAX(--(Z38:Z39))+MAX(--(Z40:Z41))+MAX(--(Z42:Z43))+MAX(--(Z44:Z45))+MAX(--(Z46:Z47))+MAX(--(Z48:Z49))+MAX(--(Z51:Z52))+MAX(--(Z53:Z54))+MAX(--(Z55:Z56))+MAX(--(Z57:Z58))+MAX(--(Z59:Z60))+MAX(--(Z61:Z62))+MAX(--(Z63:Z64))+MAX(--(Z65:Z66))+MAX(--(Z67:Z68))+MAX(--(Z69:Z70))+MAX(--(Z71:Z72))+MAX(--(Z73:Z74))+MAX(--(Z75:Z76))+MAX(--(Z77:Z78))+MAX(--(Z79:Z80))+MAX(--(Z81:Z82))+MAX(--(Z83:Z84))+MAX(--(Z85:Z86))+MAX(--(Z87:Z88))+MAX(--(Z89:Z90))+MAX(--(Z91:Z92))+MAX(--(Z93:Z94))+MAX(--(Z95:Z96))+MAX(--(Z97:Z99))+MAX(--(Z100:Z101))+MAX(--(Z102:Z103))+MAX(--(Z104:Z105))+MAX(--(Z106:Z107))+MAX(--(Z112:Z113))+MAX(--(Z119:Z120))</f>
        <v>4</v>
      </c>
      <c r="AA5" s="196" cm="1">
        <f t="array" ref="AA5">MAX(--(AA22:AA25))+MAX(--(AA26:AA29))+MAX(--(AA32:AA33))+MAX(--(AA34:AA35))+MAX(--(AA36:AA37))+MAX(--(AA38:AA39))+MAX(--(AA40:AA41))+MAX(--(AA42:AA43))+MAX(--(AA44:AA45))+MAX(--(AA46:AA47))+MAX(--(AA48:AA49))+MAX(--(AA51:AA52))+MAX(--(AA53:AA54))+MAX(--(AA55:AA56))+MAX(--(AA57:AA58))+MAX(--(AA59:AA60))+MAX(--(AA61:AA62))+MAX(--(AA63:AA64))+MAX(--(AA65:AA66))+MAX(--(AA67:AA68))+MAX(--(AA69:AA70))+MAX(--(AA71:AA72))+MAX(--(AA73:AA74))+MAX(--(AA75:AA76))+MAX(--(AA77:AA78))+MAX(--(AA79:AA80))+MAX(--(AA81:AA82))+MAX(--(AA83:AA84))+MAX(--(AA85:AA86))+MAX(--(AA87:AA88))+MAX(--(AA89:AA90))+MAX(--(AA91:AA92))+MAX(--(AA93:AA94))+MAX(--(AA95:AA96))+MAX(--(AA97:AA99))+MAX(--(AA100:AA101))+MAX(--(AA102:AA103))+MAX(--(AA104:AA105))+MAX(--(AA106:AA107))+MAX(--(AA112:AA113))+MAX(--(AA119:AA120))</f>
        <v>4</v>
      </c>
      <c r="AB5" s="196" cm="1">
        <f t="array" ref="AB5">MAX(--(AB22:AB25))+MAX(--(AB26:AB29))+MAX(--(AB32:AB33))+MAX(--(AB34:AB35))+MAX(--(AB36:AB37))+MAX(--(AB38:AB39))+MAX(--(AB40:AB41))+MAX(--(AB42:AB43))+MAX(--(AB44:AB45))+MAX(--(AB46:AB47))+MAX(--(AB48:AB49))+MAX(--(AB51:AB52))+MAX(--(AB53:AB54))+MAX(--(AB55:AB56))+MAX(--(AB57:AB58))+MAX(--(AB59:AB60))+MAX(--(AB61:AB62))+MAX(--(AB63:AB64))+MAX(--(AB65:AB66))+MAX(--(AB67:AB68))+MAX(--(AB69:AB70))+MAX(--(AB71:AB72))+MAX(--(AB73:AB74))+MAX(--(AB75:AB76))+MAX(--(AB77:AB78))+MAX(--(AB79:AB80))+MAX(--(AB81:AB82))+MAX(--(AB83:AB84))+MAX(--(AB85:AB86))+MAX(--(AB87:AB88))+MAX(--(AB89:AB90))+MAX(--(AB91:AB92))+MAX(--(AB93:AB94))+MAX(--(AB95:AB96))+MAX(--(AB97:AB99))+MAX(--(AB100:AB101))+MAX(--(AB102:AB103))+MAX(--(AB104:AB105))+MAX(--(AB106:AB107))+MAX(--(AB112:AB113))+MAX(--(AB119:AB120))</f>
        <v>3</v>
      </c>
      <c r="AC5" s="196" cm="1">
        <f t="array" ref="AC5">MAX(--(AC22:AC25))+MAX(--(AC26:AC29))+MAX(--(AC32:AC33))+MAX(--(AC34:AC35))+MAX(--(AC36:AC37))+MAX(--(AC38:AC39))+MAX(--(AC40:AC41))+MAX(--(AC42:AC43))+MAX(--(AC44:AC45))+MAX(--(AC46:AC47))+MAX(--(AC48:AC49))+MAX(--(AC51:AC52))+MAX(--(AC53:AC54))+MAX(--(AC55:AC56))+MAX(--(AC57:AC58))+MAX(--(AC59:AC60))+MAX(--(AC61:AC62))+MAX(--(AC63:AC64))+MAX(--(AC65:AC66))+MAX(--(AC67:AC68))+MAX(--(AC69:AC70))+MAX(--(AC71:AC72))+MAX(--(AC73:AC74))+MAX(--(AC75:AC76))+MAX(--(AC77:AC78))+MAX(--(AC79:AC80))+MAX(--(AC81:AC82))+MAX(--(AC83:AC84))+MAX(--(AC85:AC86))+MAX(--(AC87:AC88))+MAX(--(AC89:AC90))+MAX(--(AC91:AC92))+MAX(--(AC93:AC94))+MAX(--(AC95:AC96))+MAX(--(AC97:AC99))+MAX(--(AC100:AC101))+MAX(--(AC102:AC103))+MAX(--(AC104:AC105))+MAX(--(AC106:AC107))+MAX(--(AC112:AC113))+MAX(--(AC119:AC120))</f>
        <v>2</v>
      </c>
      <c r="AD5" s="196" cm="1">
        <f t="array" ref="AD5">MAX(--(AD22:AD25))+MAX(--(AD26:AD29))+MAX(--(AD32:AD33))+MAX(--(AD34:AD35))+MAX(--(AD36:AD37))+MAX(--(AD38:AD39))+MAX(--(AD40:AD41))+MAX(--(AD42:AD43))+MAX(--(AD44:AD45))+MAX(--(AD46:AD47))+MAX(--(AD48:AD49))+MAX(--(AD51:AD52))+MAX(--(AD53:AD54))+MAX(--(AD55:AD56))+MAX(--(AD57:AD58))+MAX(--(AD59:AD60))+MAX(--(AD61:AD62))+MAX(--(AD63:AD64))+MAX(--(AD65:AD66))+MAX(--(AD67:AD68))+MAX(--(AD69:AD70))+MAX(--(AD71:AD72))+MAX(--(AD73:AD74))+MAX(--(AD75:AD76))+MAX(--(AD77:AD78))+MAX(--(AD79:AD80))+MAX(--(AD81:AD82))+MAX(--(AD83:AD84))+MAX(--(AD85:AD86))+MAX(--(AD87:AD88))+MAX(--(AD89:AD90))+MAX(--(AD91:AD92))+MAX(--(AD93:AD94))+MAX(--(AD95:AD96))+MAX(--(AD97:AD99))+MAX(--(AD100:AD101))+MAX(--(AD102:AD103))+MAX(--(AD104:AD105))+MAX(--(AD106:AD107))+MAX(--(AD112:AD113))+MAX(--(AD119:AD120))</f>
        <v>4</v>
      </c>
      <c r="AE5" s="196" cm="1">
        <f t="array" ref="AE5">MAX(--(AE22:AE25))+MAX(--(AE26:AE29))+MAX(--(AE32:AE33))+MAX(--(AE34:AE35))+MAX(--(AE36:AE37))+MAX(--(AE38:AE39))+MAX(--(AE40:AE41))+MAX(--(AE42:AE43))+MAX(--(AE44:AE45))+MAX(--(AE46:AE47))+MAX(--(AE48:AE49))+MAX(--(AE51:AE52))+MAX(--(AE53:AE54))+MAX(--(AE55:AE56))+MAX(--(AE57:AE58))+MAX(--(AE59:AE60))+MAX(--(AE61:AE62))+MAX(--(AE63:AE64))+MAX(--(AE65:AE66))+MAX(--(AE67:AE68))+MAX(--(AE69:AE70))+MAX(--(AE71:AE72))+MAX(--(AE73:AE74))+MAX(--(AE75:AE76))+MAX(--(AE77:AE78))+MAX(--(AE79:AE80))+MAX(--(AE81:AE82))+MAX(--(AE83:AE84))+MAX(--(AE85:AE86))+MAX(--(AE87:AE88))+MAX(--(AE89:AE90))+MAX(--(AE91:AE92))+MAX(--(AE93:AE94))+MAX(--(AE95:AE96))+MAX(--(AE97:AE99))+MAX(--(AE100:AE101))+MAX(--(AE102:AE103))+MAX(--(AE104:AE105))+MAX(--(AE106:AE107))+MAX(--(AE112:AE113))+MAX(--(AE119:AE120))</f>
        <v>4</v>
      </c>
      <c r="AF5" s="196" cm="1">
        <f t="array" ref="AF5">MAX(--(AF22:AF25))+MAX(--(AF26:AF29))+MAX(--(AF32:AF33))+MAX(--(AF34:AF35))+MAX(--(AF36:AF37))+MAX(--(AF38:AF39))+MAX(--(AF40:AF41))+MAX(--(AF42:AF43))+MAX(--(AF44:AF45))+MAX(--(AF46:AF47))+MAX(--(AF48:AF49))+MAX(--(AF51:AF52))+MAX(--(AF53:AF54))+MAX(--(AF55:AF56))+MAX(--(AF57:AF58))+MAX(--(AF59:AF60))+MAX(--(AF61:AF62))+MAX(--(AF63:AF64))+MAX(--(AF65:AF66))+MAX(--(AF67:AF68))+MAX(--(AF69:AF70))+MAX(--(AF71:AF72))+MAX(--(AF73:AF74))+MAX(--(AF75:AF76))+MAX(--(AF77:AF78))+MAX(--(AF79:AF80))+MAX(--(AF81:AF82))+MAX(--(AF83:AF84))+MAX(--(AF85:AF86))+MAX(--(AF87:AF88))+MAX(--(AF89:AF90))+MAX(--(AF91:AF92))+MAX(--(AF93:AF94))+MAX(--(AF95:AF96))+MAX(--(AF97:AF99))+MAX(--(AF100:AF101))+MAX(--(AF102:AF103))+MAX(--(AF104:AF105))+MAX(--(AF106:AF107))+MAX(--(AF112:AF113))+MAX(--(AF119:AF120))</f>
        <v>5</v>
      </c>
      <c r="AG5" s="196" cm="1">
        <f t="array" ref="AG5">MAX(--(AG22:AG25))+MAX(--(AG26:AG29))+MAX(--(AG32:AG33))+MAX(--(AG34:AG35))+MAX(--(AG36:AG37))+MAX(--(AG38:AG39))+MAX(--(AG40:AG41))+MAX(--(AG42:AG43))+MAX(--(AG44:AG45))+MAX(--(AG46:AG47))+MAX(--(AG48:AG49))+MAX(--(AG51:AG52))+MAX(--(AG53:AG54))+MAX(--(AG55:AG56))+MAX(--(AG57:AG58))+MAX(--(AG59:AG60))+MAX(--(AG61:AG62))+MAX(--(AG63:AG64))+MAX(--(AG65:AG66))+MAX(--(AG67:AG68))+MAX(--(AG69:AG70))+MAX(--(AG71:AG72))+MAX(--(AG73:AG74))+MAX(--(AG75:AG76))+MAX(--(AG77:AG78))+MAX(--(AG79:AG80))+MAX(--(AG81:AG82))+MAX(--(AG83:AG84))+MAX(--(AG85:AG86))+MAX(--(AG87:AG88))+MAX(--(AG89:AG90))+MAX(--(AG91:AG92))+MAX(--(AG93:AG94))+MAX(--(AG95:AG96))+MAX(--(AG97:AG99))+MAX(--(AG100:AG101))+MAX(--(AG102:AG103))+MAX(--(AG104:AG105))+MAX(--(AG106:AG107))+MAX(--(AG112:AG113))+MAX(--(AG119:AG120))</f>
        <v>6</v>
      </c>
      <c r="AH5" s="196" cm="1">
        <f t="array" ref="AH5">MAX(--(AH22:AH25))+MAX(--(AH26:AH29))+MAX(--(AH32:AH33))+MAX(--(AH34:AH35))+MAX(--(AH36:AH37))+MAX(--(AH38:AH39))+MAX(--(AH40:AH41))+MAX(--(AH42:AH43))+MAX(--(AH44:AH45))+MAX(--(AH46:AH47))+MAX(--(AH48:AH49))+MAX(--(AH51:AH52))+MAX(--(AH53:AH54))+MAX(--(AH55:AH56))+MAX(--(AH57:AH58))+MAX(--(AH59:AH60))+MAX(--(AH61:AH62))+MAX(--(AH63:AH64))+MAX(--(AH65:AH66))+MAX(--(AH67:AH68))+MAX(--(AH69:AH70))+MAX(--(AH71:AH72))+MAX(--(AH73:AH74))+MAX(--(AH75:AH76))+MAX(--(AH77:AH78))+MAX(--(AH79:AH80))+MAX(--(AH81:AH82))+MAX(--(AH83:AH84))+MAX(--(AH85:AH86))+MAX(--(AH87:AH88))+MAX(--(AH89:AH90))+MAX(--(AH91:AH92))+MAX(--(AH93:AH94))+MAX(--(AH95:AH96))+MAX(--(AH97:AH99))+MAX(--(AH100:AH101))+MAX(--(AH102:AH103))+MAX(--(AH104:AH105))+MAX(--(AH106:AH107))+MAX(--(AH112:AH113))+MAX(--(AH119:AH120))</f>
        <v>4</v>
      </c>
      <c r="AI5" s="196" cm="1">
        <f t="array" ref="AI5">MAX(--(AI22:AI25))+MAX(--(AI26:AI29))+MAX(--(AI32:AI33))+MAX(--(AI34:AI35))+MAX(--(AI36:AI37))+MAX(--(AI38:AI39))+MAX(--(AI40:AI41))+MAX(--(AI42:AI43))+MAX(--(AI44:AI45))+MAX(--(AI46:AI47))+MAX(--(AI48:AI49))+MAX(--(AI51:AI52))+MAX(--(AI53:AI54))+MAX(--(AI55:AI56))+MAX(--(AI57:AI58))+MAX(--(AI59:AI60))+MAX(--(AI61:AI62))+MAX(--(AI63:AI64))+MAX(--(AI65:AI66))+MAX(--(AI67:AI68))+MAX(--(AI69:AI70))+MAX(--(AI71:AI72))+MAX(--(AI73:AI74))+MAX(--(AI75:AI76))+MAX(--(AI77:AI78))+MAX(--(AI79:AI80))+MAX(--(AI81:AI82))+MAX(--(AI83:AI84))+MAX(--(AI85:AI86))+MAX(--(AI87:AI88))+MAX(--(AI89:AI90))+MAX(--(AI91:AI92))+MAX(--(AI93:AI94))+MAX(--(AI95:AI96))+MAX(--(AI97:AI99))+MAX(--(AI100:AI101))+MAX(--(AI102:AI103))+MAX(--(AI104:AI105))+MAX(--(AI106:AI107))+MAX(--(AI112:AI113))+MAX(--(AI119:AI120))</f>
        <v>5</v>
      </c>
      <c r="AJ5" s="196" cm="1">
        <f t="array" ref="AJ5">MAX(--(AJ22:AJ25))+MAX(--(AJ26:AJ29))+MAX(--(AJ32:AJ33))+MAX(--(AJ34:AJ35))+MAX(--(AJ36:AJ37))+MAX(--(AJ38:AJ39))+MAX(--(AJ40:AJ41))+MAX(--(AJ42:AJ43))+MAX(--(AJ44:AJ45))+MAX(--(AJ46:AJ47))+MAX(--(AJ48:AJ49))+MAX(--(AJ51:AJ52))+MAX(--(AJ53:AJ54))+MAX(--(AJ55:AJ56))+MAX(--(AJ57:AJ58))+MAX(--(AJ59:AJ60))+MAX(--(AJ61:AJ62))+MAX(--(AJ63:AJ64))+MAX(--(AJ65:AJ66))+MAX(--(AJ67:AJ68))+MAX(--(AJ69:AJ70))+MAX(--(AJ71:AJ72))+MAX(--(AJ73:AJ74))+MAX(--(AJ75:AJ76))+MAX(--(AJ77:AJ78))+MAX(--(AJ79:AJ80))+MAX(--(AJ81:AJ82))+MAX(--(AJ83:AJ84))+MAX(--(AJ85:AJ86))+MAX(--(AJ87:AJ88))+MAX(--(AJ89:AJ90))+MAX(--(AJ91:AJ92))+MAX(--(AJ93:AJ94))+MAX(--(AJ95:AJ96))+MAX(--(AJ97:AJ99))+MAX(--(AJ100:AJ101))+MAX(--(AJ102:AJ103))+MAX(--(AJ104:AJ105))+MAX(--(AJ106:AJ107))+MAX(--(AJ112:AJ113))+MAX(--(AJ119:AJ120))</f>
        <v>4</v>
      </c>
      <c r="AK5" s="196" cm="1">
        <f t="array" ref="AK5">MAX(--(AK22:AK25))+MAX(--(AK26:AK29))+MAX(--(AK32:AK33))+MAX(--(AK34:AK35))+MAX(--(AK36:AK37))+MAX(--(AK38:AK39))+MAX(--(AK40:AK41))+MAX(--(AK42:AK43))+MAX(--(AK44:AK45))+MAX(--(AK46:AK47))+MAX(--(AK48:AK49))+MAX(--(AK51:AK52))+MAX(--(AK53:AK54))+MAX(--(AK55:AK56))+MAX(--(AK57:AK58))+MAX(--(AK59:AK60))+MAX(--(AK61:AK62))+MAX(--(AK63:AK64))+MAX(--(AK65:AK66))+MAX(--(AK67:AK68))+MAX(--(AK69:AK70))+MAX(--(AK71:AK72))+MAX(--(AK73:AK74))+MAX(--(AK75:AK76))+MAX(--(AK77:AK78))+MAX(--(AK79:AK80))+MAX(--(AK81:AK82))+MAX(--(AK83:AK84))+MAX(--(AK85:AK86))+MAX(--(AK87:AK88))+MAX(--(AK89:AK90))+MAX(--(AK91:AK92))+MAX(--(AK93:AK94))+MAX(--(AK95:AK96))+MAX(--(AK97:AK99))+MAX(--(AK100:AK101))+MAX(--(AK102:AK103))+MAX(--(AK104:AK105))+MAX(--(AK106:AK107))+MAX(--(AK112:AK113))+MAX(--(AK119:AK120))</f>
        <v>4</v>
      </c>
      <c r="AL5" s="196" cm="1">
        <f t="array" ref="AL5">MAX(--(AL22:AL25))+MAX(--(AL26:AL29))+MAX(--(AL32:AL33))+MAX(--(AL34:AL35))+MAX(--(AL36:AL37))+MAX(--(AL38:AL39))+MAX(--(AL40:AL41))+MAX(--(AL42:AL43))+MAX(--(AL44:AL45))+MAX(--(AL46:AL47))+MAX(--(AL48:AL49))+MAX(--(AL51:AL52))+MAX(--(AL53:AL54))+MAX(--(AL55:AL56))+MAX(--(AL57:AL58))+MAX(--(AL59:AL60))+MAX(--(AL61:AL62))+MAX(--(AL63:AL64))+MAX(--(AL65:AL66))+MAX(--(AL67:AL68))+MAX(--(AL69:AL70))+MAX(--(AL71:AL72))+MAX(--(AL73:AL74))+MAX(--(AL75:AL76))+MAX(--(AL77:AL78))+MAX(--(AL79:AL80))+MAX(--(AL81:AL82))+MAX(--(AL83:AL84))+MAX(--(AL85:AL86))+MAX(--(AL87:AL88))+MAX(--(AL89:AL90))+MAX(--(AL91:AL92))+MAX(--(AL93:AL94))+MAX(--(AL95:AL96))+MAX(--(AL97:AL99))+MAX(--(AL100:AL101))+MAX(--(AL102:AL103))+MAX(--(AL104:AL105))+MAX(--(AL106:AL107))+MAX(--(AL112:AL113))+MAX(--(AL119:AL120))</f>
        <v>4</v>
      </c>
      <c r="AM5" s="196" cm="1">
        <f t="array" ref="AM5">MAX(--(AM22:AM25))+MAX(--(AM26:AM29))+MAX(--(AM32:AM33))+MAX(--(AM34:AM35))+MAX(--(AM36:AM37))+MAX(--(AM38:AM39))+MAX(--(AM40:AM41))+MAX(--(AM42:AM43))+MAX(--(AM44:AM45))+MAX(--(AM46:AM47))+MAX(--(AM48:AM49))+MAX(--(AM51:AM52))+MAX(--(AM53:AM54))+MAX(--(AM55:AM56))+MAX(--(AM57:AM58))+MAX(--(AM59:AM60))+MAX(--(AM61:AM62))+MAX(--(AM63:AM64))+MAX(--(AM65:AM66))+MAX(--(AM67:AM68))+MAX(--(AM69:AM70))+MAX(--(AM71:AM72))+MAX(--(AM73:AM74))+MAX(--(AM75:AM76))+MAX(--(AM77:AM78))+MAX(--(AM79:AM80))+MAX(--(AM81:AM82))+MAX(--(AM83:AM84))+MAX(--(AM85:AM86))+MAX(--(AM87:AM88))+MAX(--(AM89:AM90))+MAX(--(AM91:AM92))+MAX(--(AM93:AM94))+MAX(--(AM95:AM96))+MAX(--(AM97:AM99))+MAX(--(AM100:AM101))+MAX(--(AM102:AM103))+MAX(--(AM104:AM105))+MAX(--(AM106:AM107))+MAX(--(AM112:AM113))+MAX(--(AM119:AM120))</f>
        <v>3</v>
      </c>
      <c r="AN5" s="196" cm="1">
        <f t="array" ref="AN5">MAX(--(AN22:AN25))+MAX(--(AN26:AN29))+MAX(--(AN32:AN33))+MAX(--(AN34:AN35))+MAX(--(AN36:AN37))+MAX(--(AN38:AN39))+MAX(--(AN40:AN41))+MAX(--(AN42:AN43))+MAX(--(AN44:AN45))+MAX(--(AN46:AN47))+MAX(--(AN48:AN49))+MAX(--(AN51:AN52))+MAX(--(AN53:AN54))+MAX(--(AN55:AN56))+MAX(--(AN57:AN58))+MAX(--(AN59:AN60))+MAX(--(AN61:AN62))+MAX(--(AN63:AN64))+MAX(--(AN65:AN66))+MAX(--(AN67:AN68))+MAX(--(AN69:AN70))+MAX(--(AN71:AN72))+MAX(--(AN73:AN74))+MAX(--(AN75:AN76))+MAX(--(AN77:AN78))+MAX(--(AN79:AN80))+MAX(--(AN81:AN82))+MAX(--(AN83:AN84))+MAX(--(AN85:AN86))+MAX(--(AN87:AN88))+MAX(--(AN89:AN90))+MAX(--(AN91:AN92))+MAX(--(AN93:AN94))+MAX(--(AN95:AN96))+MAX(--(AN97:AN99))+MAX(--(AN100:AN101))+MAX(--(AN102:AN103))+MAX(--(AN104:AN105))+MAX(--(AN106:AN107))+MAX(--(AN112:AN113))+MAX(--(AN119:AN120))</f>
        <v>3</v>
      </c>
      <c r="AO5" s="196" cm="1">
        <f t="array" ref="AO5">MAX(--(AO22:AO25))+MAX(--(AO26:AO29))+MAX(--(AO32:AO33))+MAX(--(AO34:AO35))+MAX(--(AO36:AO37))+MAX(--(AO38:AO39))+MAX(--(AO40:AO41))+MAX(--(AO42:AO43))+MAX(--(AO44:AO45))+MAX(--(AO46:AO47))+MAX(--(AO48:AO49))+MAX(--(AO51:AO52))+MAX(--(AO53:AO54))+MAX(--(AO55:AO56))+MAX(--(AO57:AO58))+MAX(--(AO59:AO60))+MAX(--(AO61:AO62))+MAX(--(AO63:AO64))+MAX(--(AO65:AO66))+MAX(--(AO67:AO68))+MAX(--(AO69:AO70))+MAX(--(AO71:AO72))+MAX(--(AO73:AO74))+MAX(--(AO75:AO76))+MAX(--(AO77:AO78))+MAX(--(AO79:AO80))+MAX(--(AO81:AO82))+MAX(--(AO83:AO84))+MAX(--(AO85:AO86))+MAX(--(AO87:AO88))+MAX(--(AO89:AO90))+MAX(--(AO91:AO92))+MAX(--(AO93:AO94))+MAX(--(AO95:AO96))+MAX(--(AO97:AO99))+MAX(--(AO100:AO101))+MAX(--(AO102:AO103))+MAX(--(AO104:AO105))+MAX(--(AO106:AO107))+MAX(--(AO112:AO113))+MAX(--(AO119:AO120))</f>
        <v>6</v>
      </c>
      <c r="AP5" s="196" cm="1">
        <f t="array" ref="AP5">MAX(--(AP22:AP25))+MAX(--(AP26:AP29))+MAX(--(AP32:AP33))+MAX(--(AP34:AP35))+MAX(--(AP36:AP37))+MAX(--(AP38:AP39))+MAX(--(AP40:AP41))+MAX(--(AP42:AP43))+MAX(--(AP44:AP45))+MAX(--(AP46:AP47))+MAX(--(AP48:AP49))+MAX(--(AP51:AP52))+MAX(--(AP53:AP54))+MAX(--(AP55:AP56))+MAX(--(AP57:AP58))+MAX(--(AP59:AP60))+MAX(--(AP61:AP62))+MAX(--(AP63:AP64))+MAX(--(AP65:AP66))+MAX(--(AP67:AP68))+MAX(--(AP69:AP70))+MAX(--(AP71:AP72))+MAX(--(AP73:AP74))+MAX(--(AP75:AP76))+MAX(--(AP77:AP78))+MAX(--(AP79:AP80))+MAX(--(AP81:AP82))+MAX(--(AP83:AP84))+MAX(--(AP85:AP86))+MAX(--(AP87:AP88))+MAX(--(AP89:AP90))+MAX(--(AP91:AP92))+MAX(--(AP93:AP94))+MAX(--(AP95:AP96))+MAX(--(AP97:AP99))+MAX(--(AP100:AP101))+MAX(--(AP102:AP103))+MAX(--(AP104:AP105))+MAX(--(AP106:AP107))+MAX(--(AP112:AP113))+MAX(--(AP119:AP120))</f>
        <v>3</v>
      </c>
      <c r="AQ5" s="196" cm="1">
        <f t="array" ref="AQ5">MAX(--(AQ22:AQ25))+MAX(--(AQ26:AQ29))+MAX(--(AQ32:AQ33))+MAX(--(AQ34:AQ35))+MAX(--(AQ36:AQ37))+MAX(--(AQ38:AQ39))+MAX(--(AQ40:AQ41))+MAX(--(AQ42:AQ43))+MAX(--(AQ44:AQ45))+MAX(--(AQ46:AQ47))+MAX(--(AQ48:AQ49))+MAX(--(AQ51:AQ52))+MAX(--(AQ53:AQ54))+MAX(--(AQ55:AQ56))+MAX(--(AQ57:AQ58))+MAX(--(AQ59:AQ60))+MAX(--(AQ61:AQ62))+MAX(--(AQ63:AQ64))+MAX(--(AQ65:AQ66))+MAX(--(AQ67:AQ68))+MAX(--(AQ69:AQ70))+MAX(--(AQ71:AQ72))+MAX(--(AQ73:AQ74))+MAX(--(AQ75:AQ76))+MAX(--(AQ77:AQ78))+MAX(--(AQ79:AQ80))+MAX(--(AQ81:AQ82))+MAX(--(AQ83:AQ84))+MAX(--(AQ85:AQ86))+MAX(--(AQ87:AQ88))+MAX(--(AQ89:AQ90))+MAX(--(AQ91:AQ92))+MAX(--(AQ93:AQ94))+MAX(--(AQ95:AQ96))+MAX(--(AQ97:AQ99))+MAX(--(AQ100:AQ101))+MAX(--(AQ102:AQ103))+MAX(--(AQ104:AQ105))+MAX(--(AQ106:AQ107))+MAX(--(AQ112:AQ113))+MAX(--(AQ119:AQ120))</f>
        <v>3</v>
      </c>
      <c r="AR5" s="196" cm="1">
        <f t="array" ref="AR5">MAX(--(AR22:AR25))+MAX(--(AR26:AR29))+MAX(--(AR32:AR33))+MAX(--(AR34:AR35))+MAX(--(AR36:AR37))+MAX(--(AR38:AR39))+MAX(--(AR40:AR41))+MAX(--(AR42:AR43))+MAX(--(AR44:AR45))+MAX(--(AR46:AR47))+MAX(--(AR48:AR49))+MAX(--(AR51:AR52))+MAX(--(AR53:AR54))+MAX(--(AR55:AR56))+MAX(--(AR57:AR58))+MAX(--(AR59:AR60))+MAX(--(AR61:AR62))+MAX(--(AR63:AR64))+MAX(--(AR65:AR66))+MAX(--(AR67:AR68))+MAX(--(AR69:AR70))+MAX(--(AR71:AR72))+MAX(--(AR73:AR74))+MAX(--(AR75:AR76))+MAX(--(AR77:AR78))+MAX(--(AR79:AR80))+MAX(--(AR81:AR82))+MAX(--(AR83:AR84))+MAX(--(AR85:AR86))+MAX(--(AR87:AR88))+MAX(--(AR89:AR90))+MAX(--(AR91:AR92))+MAX(--(AR93:AR94))+MAX(--(AR95:AR96))+MAX(--(AR97:AR99))+MAX(--(AR100:AR101))+MAX(--(AR102:AR103))+MAX(--(AR104:AR105))+MAX(--(AR106:AR107))+MAX(--(AR112:AR113))+MAX(--(AR119:AR120))</f>
        <v>3</v>
      </c>
      <c r="AS5" s="196" cm="1">
        <f t="array" ref="AS5">MAX(--(AS22:AS25))+MAX(--(AS26:AS29))+MAX(--(AS32:AS33))+MAX(--(AS34:AS35))+MAX(--(AS36:AS37))+MAX(--(AS38:AS39))+MAX(--(AS40:AS41))+MAX(--(AS42:AS43))+MAX(--(AS44:AS45))+MAX(--(AS46:AS47))+MAX(--(AS48:AS49))+MAX(--(AS51:AS52))+MAX(--(AS53:AS54))+MAX(--(AS55:AS56))+MAX(--(AS57:AS58))+MAX(--(AS59:AS60))+MAX(--(AS61:AS62))+MAX(--(AS63:AS64))+MAX(--(AS65:AS66))+MAX(--(AS67:AS68))+MAX(--(AS69:AS70))+MAX(--(AS71:AS72))+MAX(--(AS73:AS74))+MAX(--(AS75:AS76))+MAX(--(AS77:AS78))+MAX(--(AS79:AS80))+MAX(--(AS81:AS82))+MAX(--(AS83:AS84))+MAX(--(AS85:AS86))+MAX(--(AS87:AS88))+MAX(--(AS89:AS90))+MAX(--(AS91:AS92))+MAX(--(AS93:AS94))+MAX(--(AS95:AS96))+MAX(--(AS97:AS99))+MAX(--(AS100:AS101))+MAX(--(AS102:AS103))+MAX(--(AS104:AS105))+MAX(--(AS106:AS107))+MAX(--(AS112:AS113))+MAX(--(AS119:AS120))</f>
        <v>3</v>
      </c>
      <c r="AT5" s="196" cm="1">
        <f t="array" ref="AT5">MAX(--(AT22:AT25))+MAX(--(AT26:AT29))+MAX(--(AT32:AT33))+MAX(--(AT34:AT35))+MAX(--(AT36:AT37))+MAX(--(AT38:AT39))+MAX(--(AT40:AT41))+MAX(--(AT42:AT43))+MAX(--(AT44:AT45))+MAX(--(AT46:AT47))+MAX(--(AT48:AT49))+MAX(--(AT51:AT52))+MAX(--(AT53:AT54))+MAX(--(AT55:AT56))+MAX(--(AT57:AT58))+MAX(--(AT59:AT60))+MAX(--(AT61:AT62))+MAX(--(AT63:AT64))+MAX(--(AT65:AT66))+MAX(--(AT67:AT68))+MAX(--(AT69:AT70))+MAX(--(AT71:AT72))+MAX(--(AT73:AT74))+MAX(--(AT75:AT76))+MAX(--(AT77:AT78))+MAX(--(AT79:AT80))+MAX(--(AT81:AT82))+MAX(--(AT83:AT84))+MAX(--(AT85:AT86))+MAX(--(AT87:AT88))+MAX(--(AT89:AT90))+MAX(--(AT91:AT92))+MAX(--(AT93:AT94))+MAX(--(AT95:AT96))+MAX(--(AT97:AT99))+MAX(--(AT100:AT101))+MAX(--(AT102:AT103))+MAX(--(AT104:AT105))+MAX(--(AT106:AT107))+MAX(--(AT112:AT113))+MAX(--(AT119:AT120))</f>
        <v>3</v>
      </c>
      <c r="AU5" s="196" cm="1">
        <f t="array" ref="AU5">MAX(--(AU22:AU25))+MAX(--(AU26:AU29))+MAX(--(AU32:AU33))+MAX(--(AU34:AU35))+MAX(--(AU36:AU37))+MAX(--(AU38:AU39))+MAX(--(AU40:AU41))+MAX(--(AU42:AU43))+MAX(--(AU44:AU45))+MAX(--(AU46:AU47))+MAX(--(AU48:AU49))+MAX(--(AU51:AU52))+MAX(--(AU53:AU54))+MAX(--(AU55:AU56))+MAX(--(AU57:AU58))+MAX(--(AU59:AU60))+MAX(--(AU61:AU62))+MAX(--(AU63:AU64))+MAX(--(AU65:AU66))+MAX(--(AU67:AU68))+MAX(--(AU69:AU70))+MAX(--(AU71:AU72))+MAX(--(AU73:AU74))+MAX(--(AU75:AU76))+MAX(--(AU77:AU78))+MAX(--(AU79:AU80))+MAX(--(AU81:AU82))+MAX(--(AU83:AU84))+MAX(--(AU85:AU86))+MAX(--(AU87:AU88))+MAX(--(AU89:AU90))+MAX(--(AU91:AU92))+MAX(--(AU93:AU94))+MAX(--(AU95:AU96))+MAX(--(AU97:AU99))+MAX(--(AU100:AU101))+MAX(--(AU102:AU103))+MAX(--(AU104:AU105))+MAX(--(AU106:AU107))+MAX(--(AU112:AU113))+MAX(--(AU119:AU120))</f>
        <v>3</v>
      </c>
      <c r="AV5" s="196" cm="1">
        <f t="array" ref="AV5">MAX(--(AV22:AV25))+MAX(--(AV26:AV29))+MAX(--(AV32:AV33))+MAX(--(AV34:AV35))+MAX(--(AV36:AV37))+MAX(--(AV38:AV39))+MAX(--(AV40:AV41))+MAX(--(AV42:AV43))+MAX(--(AV44:AV45))+MAX(--(AV46:AV47))+MAX(--(AV48:AV49))+MAX(--(AV51:AV52))+MAX(--(AV53:AV54))+MAX(--(AV55:AV56))+MAX(--(AV57:AV58))+MAX(--(AV59:AV60))+MAX(--(AV61:AV62))+MAX(--(AV63:AV64))+MAX(--(AV65:AV66))+MAX(--(AV67:AV68))+MAX(--(AV69:AV70))+MAX(--(AV71:AV72))+MAX(--(AV73:AV74))+MAX(--(AV75:AV76))+MAX(--(AV77:AV78))+MAX(--(AV79:AV80))+MAX(--(AV81:AV82))+MAX(--(AV83:AV84))+MAX(--(AV85:AV86))+MAX(--(AV87:AV88))+MAX(--(AV89:AV90))+MAX(--(AV91:AV92))+MAX(--(AV93:AV94))+MAX(--(AV95:AV96))+MAX(--(AV97:AV99))+MAX(--(AV100:AV101))+MAX(--(AV102:AV103))+MAX(--(AV104:AV105))+MAX(--(AV106:AV107))+MAX(--(AV112:AV113))+MAX(--(AV119:AV120))</f>
        <v>4</v>
      </c>
      <c r="AW5" s="196" cm="1">
        <f t="array" ref="AW5">MAX(--(AW22:AW25))+MAX(--(AW26:AW29))+MAX(--(AW32:AW33))+MAX(--(AW34:AW35))+MAX(--(AW36:AW37))+MAX(--(AW38:AW39))+MAX(--(AW40:AW41))+MAX(--(AW42:AW43))+MAX(--(AW44:AW45))+MAX(--(AW46:AW47))+MAX(--(AW48:AW49))+MAX(--(AW51:AW52))+MAX(--(AW53:AW54))+MAX(--(AW55:AW56))+MAX(--(AW57:AW58))+MAX(--(AW59:AW60))+MAX(--(AW61:AW62))+MAX(--(AW63:AW64))+MAX(--(AW65:AW66))+MAX(--(AW67:AW68))+MAX(--(AW69:AW70))+MAX(--(AW71:AW72))+MAX(--(AW73:AW74))+MAX(--(AW75:AW76))+MAX(--(AW77:AW78))+MAX(--(AW79:AW80))+MAX(--(AW81:AW82))+MAX(--(AW83:AW84))+MAX(--(AW85:AW86))+MAX(--(AW87:AW88))+MAX(--(AW89:AW90))+MAX(--(AW91:AW92))+MAX(--(AW93:AW94))+MAX(--(AW95:AW96))+MAX(--(AW97:AW99))+MAX(--(AW100:AW101))+MAX(--(AW102:AW103))+MAX(--(AW104:AW105))+MAX(--(AW106:AW107))+MAX(--(AW112:AW113))+MAX(--(AW119:AW120))</f>
        <v>4</v>
      </c>
      <c r="AX5" s="196" cm="1">
        <f t="array" ref="AX5">MAX(--(AX22:AX25))+MAX(--(AX26:AX29))+MAX(--(AX32:AX33))+MAX(--(AX34:AX35))+MAX(--(AX36:AX37))+MAX(--(AX38:AX39))+MAX(--(AX40:AX41))+MAX(--(AX42:AX43))+MAX(--(AX44:AX45))+MAX(--(AX46:AX47))+MAX(--(AX48:AX49))+MAX(--(AX51:AX52))+MAX(--(AX53:AX54))+MAX(--(AX55:AX56))+MAX(--(AX57:AX58))+MAX(--(AX59:AX60))+MAX(--(AX61:AX62))+MAX(--(AX63:AX64))+MAX(--(AX65:AX66))+MAX(--(AX67:AX68))+MAX(--(AX69:AX70))+MAX(--(AX71:AX72))+MAX(--(AX73:AX74))+MAX(--(AX75:AX76))+MAX(--(AX77:AX78))+MAX(--(AX79:AX80))+MAX(--(AX81:AX82))+MAX(--(AX83:AX84))+MAX(--(AX85:AX86))+MAX(--(AX87:AX88))+MAX(--(AX89:AX90))+MAX(--(AX91:AX92))+MAX(--(AX93:AX94))+MAX(--(AX95:AX96))+MAX(--(AX97:AX99))+MAX(--(AX100:AX101))+MAX(--(AX102:AX103))+MAX(--(AX104:AX105))+MAX(--(AX106:AX107))+MAX(--(AX112:AX113))+MAX(--(AX119:AX120))</f>
        <v>4</v>
      </c>
      <c r="AY5" s="196" cm="1">
        <f t="array" ref="AY5">MAX(--(AY22:AY25))+MAX(--(AY26:AY29))+MAX(--(AY32:AY33))+MAX(--(AY34:AY35))+MAX(--(AY36:AY37))+MAX(--(AY38:AY39))+MAX(--(AY40:AY41))+MAX(--(AY42:AY43))+MAX(--(AY44:AY45))+MAX(--(AY46:AY47))+MAX(--(AY48:AY49))+MAX(--(AY51:AY52))+MAX(--(AY53:AY54))+MAX(--(AY55:AY56))+MAX(--(AY57:AY58))+MAX(--(AY59:AY60))+MAX(--(AY61:AY62))+MAX(--(AY63:AY64))+MAX(--(AY65:AY66))+MAX(--(AY67:AY68))+MAX(--(AY69:AY70))+MAX(--(AY71:AY72))+MAX(--(AY73:AY74))+MAX(--(AY75:AY76))+MAX(--(AY77:AY78))+MAX(--(AY79:AY80))+MAX(--(AY81:AY82))+MAX(--(AY83:AY84))+MAX(--(AY85:AY86))+MAX(--(AY87:AY88))+MAX(--(AY89:AY90))+MAX(--(AY91:AY92))+MAX(--(AY93:AY94))+MAX(--(AY95:AY96))+MAX(--(AY97:AY99))+MAX(--(AY100:AY101))+MAX(--(AY102:AY103))+MAX(--(AY104:AY105))+MAX(--(AY106:AY107))+MAX(--(AY112:AY113))+MAX(--(AY119:AY120))</f>
        <v>4</v>
      </c>
      <c r="AZ5" s="196" cm="1">
        <f t="array" ref="AZ5">MAX(--(AZ22:AZ25))+MAX(--(AZ26:AZ29))+MAX(--(AZ32:AZ33))+MAX(--(AZ34:AZ35))+MAX(--(AZ36:AZ37))+MAX(--(AZ38:AZ39))+MAX(--(AZ40:AZ41))+MAX(--(AZ42:AZ43))+MAX(--(AZ44:AZ45))+MAX(--(AZ46:AZ47))+MAX(--(AZ48:AZ49))+MAX(--(AZ51:AZ52))+MAX(--(AZ53:AZ54))+MAX(--(AZ55:AZ56))+MAX(--(AZ57:AZ58))+MAX(--(AZ59:AZ60))+MAX(--(AZ61:AZ62))+MAX(--(AZ63:AZ64))+MAX(--(AZ65:AZ66))+MAX(--(AZ67:AZ68))+MAX(--(AZ69:AZ70))+MAX(--(AZ71:AZ72))+MAX(--(AZ73:AZ74))+MAX(--(AZ75:AZ76))+MAX(--(AZ77:AZ78))+MAX(--(AZ79:AZ80))+MAX(--(AZ81:AZ82))+MAX(--(AZ83:AZ84))+MAX(--(AZ85:AZ86))+MAX(--(AZ87:AZ88))+MAX(--(AZ89:AZ90))+MAX(--(AZ91:AZ92))+MAX(--(AZ93:AZ94))+MAX(--(AZ95:AZ96))+MAX(--(AZ97:AZ99))+MAX(--(AZ100:AZ101))+MAX(--(AZ102:AZ103))+MAX(--(AZ104:AZ105))+MAX(--(AZ106:AZ107))+MAX(--(AZ112:AZ113))+MAX(--(AZ119:AZ120))</f>
        <v>5</v>
      </c>
      <c r="BA5" s="196" cm="1">
        <f t="array" ref="BA5">MAX(--(BA22:BA25))+MAX(--(BA26:BA29))+MAX(--(BA32:BA33))+MAX(--(BA34:BA35))+MAX(--(BA36:BA37))+MAX(--(BA38:BA39))+MAX(--(BA40:BA41))+MAX(--(BA42:BA43))+MAX(--(BA44:BA45))+MAX(--(BA46:BA47))+MAX(--(BA48:BA49))+MAX(--(BA51:BA52))+MAX(--(BA53:BA54))+MAX(--(BA55:BA56))+MAX(--(BA57:BA58))+MAX(--(BA59:BA60))+MAX(--(BA61:BA62))+MAX(--(BA63:BA64))+MAX(--(BA65:BA66))+MAX(--(BA67:BA68))+MAX(--(BA69:BA70))+MAX(--(BA71:BA72))+MAX(--(BA73:BA74))+MAX(--(BA75:BA76))+MAX(--(BA77:BA78))+MAX(--(BA79:BA80))+MAX(--(BA81:BA82))+MAX(--(BA83:BA84))+MAX(--(BA85:BA86))+MAX(--(BA87:BA88))+MAX(--(BA89:BA90))+MAX(--(BA91:BA92))+MAX(--(BA93:BA94))+MAX(--(BA95:BA96))+MAX(--(BA97:BA99))+MAX(--(BA100:BA101))+MAX(--(BA102:BA103))+MAX(--(BA104:BA105))+MAX(--(BA106:BA107))+MAX(--(BA112:BA113))+MAX(--(BA119:BA120))</f>
        <v>4</v>
      </c>
      <c r="BB5" s="196" cm="1">
        <f t="array" ref="BB5">MAX(--(BB22:BB25))+MAX(--(BB26:BB29))+MAX(--(BB32:BB33))+MAX(--(BB34:BB35))+MAX(--(BB36:BB37))+MAX(--(BB38:BB39))+MAX(--(BB40:BB41))+MAX(--(BB42:BB43))+MAX(--(BB44:BB45))+MAX(--(BB46:BB47))+MAX(--(BB48:BB49))+MAX(--(BB51:BB52))+MAX(--(BB53:BB54))+MAX(--(BB55:BB56))+MAX(--(BB57:BB58))+MAX(--(BB59:BB60))+MAX(--(BB61:BB62))+MAX(--(BB63:BB64))+MAX(--(BB65:BB66))+MAX(--(BB67:BB68))+MAX(--(BB69:BB70))+MAX(--(BB71:BB72))+MAX(--(BB73:BB74))+MAX(--(BB75:BB76))+MAX(--(BB77:BB78))+MAX(--(BB79:BB80))+MAX(--(BB81:BB82))+MAX(--(BB83:BB84))+MAX(--(BB85:BB86))+MAX(--(BB87:BB88))+MAX(--(BB89:BB90))+MAX(--(BB91:BB92))+MAX(--(BB93:BB94))+MAX(--(BB95:BB96))+MAX(--(BB97:BB99))+MAX(--(BB100:BB101))+MAX(--(BB102:BB103))+MAX(--(BB104:BB105))+MAX(--(BB106:BB107))+MAX(--(BB112:BB113))+MAX(--(BB119:BB120))</f>
        <v>5</v>
      </c>
      <c r="BC5" s="196" cm="1">
        <f t="array" ref="BC5">MAX(--(BC22:BC25))+MAX(--(BC26:BC29))+MAX(--(BC32:BC33))+MAX(--(BC34:BC35))+MAX(--(BC36:BC37))+MAX(--(BC38:BC39))+MAX(--(BC40:BC41))+MAX(--(BC42:BC43))+MAX(--(BC44:BC45))+MAX(--(BC46:BC47))+MAX(--(BC48:BC49))+MAX(--(BC51:BC52))+MAX(--(BC53:BC54))+MAX(--(BC55:BC56))+MAX(--(BC57:BC58))+MAX(--(BC59:BC60))+MAX(--(BC61:BC62))+MAX(--(BC63:BC64))+MAX(--(BC65:BC66))+MAX(--(BC67:BC68))+MAX(--(BC69:BC70))+MAX(--(BC71:BC72))+MAX(--(BC73:BC74))+MAX(--(BC75:BC76))+MAX(--(BC77:BC78))+MAX(--(BC79:BC80))+MAX(--(BC81:BC82))+MAX(--(BC83:BC84))+MAX(--(BC85:BC86))+MAX(--(BC87:BC88))+MAX(--(BC89:BC90))+MAX(--(BC91:BC92))+MAX(--(BC93:BC94))+MAX(--(BC95:BC96))+MAX(--(BC97:BC99))+MAX(--(BC100:BC101))+MAX(--(BC102:BC103))+MAX(--(BC104:BC105))+MAX(--(BC106:BC107))+MAX(--(BC112:BC113))+MAX(--(BC119:BC120))</f>
        <v>1</v>
      </c>
      <c r="BD5" s="196" cm="1">
        <f t="array" ref="BD5">MAX(--(BD22:BD25))+MAX(--(BD26:BD29))+MAX(--(BD32:BD33))+MAX(--(BD34:BD35))+MAX(--(BD36:BD37))+MAX(--(BD38:BD39))+MAX(--(BD40:BD41))+MAX(--(BD42:BD43))+MAX(--(BD44:BD45))+MAX(--(BD46:BD47))+MAX(--(BD48:BD49))+MAX(--(BD51:BD52))+MAX(--(BD53:BD54))+MAX(--(BD55:BD56))+MAX(--(BD57:BD58))+MAX(--(BD59:BD60))+MAX(--(BD61:BD62))+MAX(--(BD63:BD64))+MAX(--(BD65:BD66))+MAX(--(BD67:BD68))+MAX(--(BD69:BD70))+MAX(--(BD71:BD72))+MAX(--(BD73:BD74))+MAX(--(BD75:BD76))+MAX(--(BD77:BD78))+MAX(--(BD79:BD80))+MAX(--(BD81:BD82))+MAX(--(BD83:BD84))+MAX(--(BD85:BD86))+MAX(--(BD87:BD88))+MAX(--(BD89:BD90))+MAX(--(BD91:BD92))+MAX(--(BD93:BD94))+MAX(--(BD95:BD96))+MAX(--(BD97:BD99))+MAX(--(BD100:BD101))+MAX(--(BD102:BD103))+MAX(--(BD104:BD105))+MAX(--(BD106:BD107))+MAX(--(BD112:BD113))+MAX(--(BD119:BD120))</f>
        <v>4</v>
      </c>
      <c r="BE5" s="196" cm="1">
        <f t="array" ref="BE5">MAX(--(BE22:BE25))+MAX(--(BE26:BE29))+MAX(--(BE32:BE33))+MAX(--(BE34:BE35))+MAX(--(BE36:BE37))+MAX(--(BE38:BE39))+MAX(--(BE40:BE41))+MAX(--(BE42:BE43))+MAX(--(BE44:BE45))+MAX(--(BE46:BE47))+MAX(--(BE48:BE49))+MAX(--(BE51:BE52))+MAX(--(BE53:BE54))+MAX(--(BE55:BE56))+MAX(--(BE57:BE58))+MAX(--(BE59:BE60))+MAX(--(BE61:BE62))+MAX(--(BE63:BE64))+MAX(--(BE65:BE66))+MAX(--(BE67:BE68))+MAX(--(BE69:BE70))+MAX(--(BE71:BE72))+MAX(--(BE73:BE74))+MAX(--(BE75:BE76))+MAX(--(BE77:BE78))+MAX(--(BE79:BE80))+MAX(--(BE81:BE82))+MAX(--(BE83:BE84))+MAX(--(BE85:BE86))+MAX(--(BE87:BE88))+MAX(--(BE89:BE90))+MAX(--(BE91:BE92))+MAX(--(BE93:BE94))+MAX(--(BE95:BE96))+MAX(--(BE97:BE99))+MAX(--(BE100:BE101))+MAX(--(BE102:BE103))+MAX(--(BE104:BE105))+MAX(--(BE106:BE107))+MAX(--(BE112:BE113))+MAX(--(BE119:BE120))</f>
        <v>3</v>
      </c>
      <c r="BF5" s="196" cm="1">
        <f t="array" ref="BF5">MAX(--(BF22:BF25))+MAX(--(BF26:BF29))+MAX(--(BF32:BF33))+MAX(--(BF34:BF35))+MAX(--(BF36:BF37))+MAX(--(BF38:BF39))+MAX(--(BF40:BF41))+MAX(--(BF42:BF43))+MAX(--(BF44:BF45))+MAX(--(BF46:BF47))+MAX(--(BF48:BF49))+MAX(--(BF51:BF52))+MAX(--(BF53:BF54))+MAX(--(BF55:BF56))+MAX(--(BF57:BF58))+MAX(--(BF59:BF60))+MAX(--(BF61:BF62))+MAX(--(BF63:BF64))+MAX(--(BF65:BF66))+MAX(--(BF67:BF68))+MAX(--(BF69:BF70))+MAX(--(BF71:BF72))+MAX(--(BF73:BF74))+MAX(--(BF75:BF76))+MAX(--(BF77:BF78))+MAX(--(BF79:BF80))+MAX(--(BF81:BF82))+MAX(--(BF83:BF84))+MAX(--(BF85:BF86))+MAX(--(BF87:BF88))+MAX(--(BF89:BF90))+MAX(--(BF91:BF92))+MAX(--(BF93:BF94))+MAX(--(BF95:BF96))+MAX(--(BF97:BF99))+MAX(--(BF100:BF101))+MAX(--(BF102:BF103))+MAX(--(BF104:BF105))+MAX(--(BF106:BF107))+MAX(--(BF112:BF113))+MAX(--(BF119:BF120))</f>
        <v>3</v>
      </c>
      <c r="BG5" s="196" cm="1">
        <f t="array" ref="BG5">MAX(--(BG22:BG25))+MAX(--(BG26:BG29))+MAX(--(BG32:BG33))+MAX(--(BG34:BG35))+MAX(--(BG36:BG37))+MAX(--(BG38:BG39))+MAX(--(BG40:BG41))+MAX(--(BG42:BG43))+MAX(--(BG44:BG45))+MAX(--(BG46:BG47))+MAX(--(BG48:BG49))+MAX(--(BG51:BG52))+MAX(--(BG53:BG54))+MAX(--(BG55:BG56))+MAX(--(BG57:BG58))+MAX(--(BG59:BG60))+MAX(--(BG61:BG62))+MAX(--(BG63:BG64))+MAX(--(BG65:BG66))+MAX(--(BG67:BG68))+MAX(--(BG69:BG70))+MAX(--(BG71:BG72))+MAX(--(BG73:BG74))+MAX(--(BG75:BG76))+MAX(--(BG77:BG78))+MAX(--(BG79:BG80))+MAX(--(BG81:BG82))+MAX(--(BG83:BG84))+MAX(--(BG85:BG86))+MAX(--(BG87:BG88))+MAX(--(BG89:BG90))+MAX(--(BG91:BG92))+MAX(--(BG93:BG94))+MAX(--(BG95:BG96))+MAX(--(BG97:BG99))+MAX(--(BG100:BG101))+MAX(--(BG102:BG103))+MAX(--(BG104:BG105))+MAX(--(BG106:BG107))+MAX(--(BG112:BG113))+MAX(--(BG119:BG120))</f>
        <v>4</v>
      </c>
      <c r="BH5" s="196" cm="1">
        <f t="array" ref="BH5">MAX(--(BH22:BH25))+MAX(--(BH26:BH29))+MAX(--(BH32:BH33))+MAX(--(BH34:BH35))+MAX(--(BH36:BH37))+MAX(--(BH38:BH39))+MAX(--(BH40:BH41))+MAX(--(BH42:BH43))+MAX(--(BH44:BH45))+MAX(--(BH46:BH47))+MAX(--(BH48:BH49))+MAX(--(BH51:BH52))+MAX(--(BH53:BH54))+MAX(--(BH55:BH56))+MAX(--(BH57:BH58))+MAX(--(BH59:BH60))+MAX(--(BH61:BH62))+MAX(--(BH63:BH64))+MAX(--(BH65:BH66))+MAX(--(BH67:BH68))+MAX(--(BH69:BH70))+MAX(--(BH71:BH72))+MAX(--(BH73:BH74))+MAX(--(BH75:BH76))+MAX(--(BH77:BH78))+MAX(--(BH79:BH80))+MAX(--(BH81:BH82))+MAX(--(BH83:BH84))+MAX(--(BH85:BH86))+MAX(--(BH87:BH88))+MAX(--(BH89:BH90))+MAX(--(BH91:BH92))+MAX(--(BH93:BH94))+MAX(--(BH95:BH96))+MAX(--(BH97:BH99))+MAX(--(BH100:BH101))+MAX(--(BH102:BH103))+MAX(--(BH104:BH105))+MAX(--(BH106:BH107))+MAX(--(BH112:BH113))+MAX(--(BH119:BH120))</f>
        <v>2</v>
      </c>
      <c r="BI5" s="196" cm="1">
        <f t="array" ref="BI5">MAX(--(BI22:BI25))+MAX(--(BI26:BI29))+MAX(--(BI32:BI33))+MAX(--(BI34:BI35))+MAX(--(BI36:BI37))+MAX(--(BI38:BI39))+MAX(--(BI40:BI41))+MAX(--(BI42:BI43))+MAX(--(BI44:BI45))+MAX(--(BI46:BI47))+MAX(--(BI48:BI49))+MAX(--(BI51:BI52))+MAX(--(BI53:BI54))+MAX(--(BI55:BI56))+MAX(--(BI57:BI58))+MAX(--(BI59:BI60))+MAX(--(BI61:BI62))+MAX(--(BI63:BI64))+MAX(--(BI65:BI66))+MAX(--(BI67:BI68))+MAX(--(BI69:BI70))+MAX(--(BI71:BI72))+MAX(--(BI73:BI74))+MAX(--(BI75:BI76))+MAX(--(BI77:BI78))+MAX(--(BI79:BI80))+MAX(--(BI81:BI82))+MAX(--(BI83:BI84))+MAX(--(BI85:BI86))+MAX(--(BI87:BI88))+MAX(--(BI89:BI90))+MAX(--(BI91:BI92))+MAX(--(BI93:BI94))+MAX(--(BI95:BI96))+MAX(--(BI97:BI99))+MAX(--(BI100:BI101))+MAX(--(BI102:BI103))+MAX(--(BI104:BI105))+MAX(--(BI106:BI107))+MAX(--(BI112:BI113))+MAX(--(BI119:BI120))</f>
        <v>2</v>
      </c>
      <c r="BJ5" s="196" cm="1">
        <f t="array" ref="BJ5">MAX(--(BJ22:BJ25))+MAX(--(BJ26:BJ29))+MAX(--(BJ32:BJ33))+MAX(--(BJ34:BJ35))+MAX(--(BJ36:BJ37))+MAX(--(BJ38:BJ39))+MAX(--(BJ40:BJ41))+MAX(--(BJ42:BJ43))+MAX(--(BJ44:BJ45))+MAX(--(BJ46:BJ47))+MAX(--(BJ48:BJ49))+MAX(--(BJ51:BJ52))+MAX(--(BJ53:BJ54))+MAX(--(BJ55:BJ56))+MAX(--(BJ57:BJ58))+MAX(--(BJ59:BJ60))+MAX(--(BJ61:BJ62))+MAX(--(BJ63:BJ64))+MAX(--(BJ65:BJ66))+MAX(--(BJ67:BJ68))+MAX(--(BJ69:BJ70))+MAX(--(BJ71:BJ72))+MAX(--(BJ73:BJ74))+MAX(--(BJ75:BJ76))+MAX(--(BJ77:BJ78))+MAX(--(BJ79:BJ80))+MAX(--(BJ81:BJ82))+MAX(--(BJ83:BJ84))+MAX(--(BJ85:BJ86))+MAX(--(BJ87:BJ88))+MAX(--(BJ89:BJ90))+MAX(--(BJ91:BJ92))+MAX(--(BJ93:BJ94))+MAX(--(BJ95:BJ96))+MAX(--(BJ97:BJ99))+MAX(--(BJ100:BJ101))+MAX(--(BJ102:BJ103))+MAX(--(BJ104:BJ105))+MAX(--(BJ106:BJ107))+MAX(--(BJ112:BJ113))+MAX(--(BJ119:BJ120))</f>
        <v>2</v>
      </c>
      <c r="BK5" s="196" cm="1">
        <f t="array" ref="BK5">MAX(--(BK22:BK25))+MAX(--(BK26:BK29))+MAX(--(BK32:BK33))+MAX(--(BK34:BK35))+MAX(--(BK36:BK37))+MAX(--(BK38:BK39))+MAX(--(BK40:BK41))+MAX(--(BK42:BK43))+MAX(--(BK44:BK45))+MAX(--(BK46:BK47))+MAX(--(BK48:BK49))+MAX(--(BK51:BK52))+MAX(--(BK53:BK54))+MAX(--(BK55:BK56))+MAX(--(BK57:BK58))+MAX(--(BK59:BK60))+MAX(--(BK61:BK62))+MAX(--(BK63:BK64))+MAX(--(BK65:BK66))+MAX(--(BK67:BK68))+MAX(--(BK69:BK70))+MAX(--(BK71:BK72))+MAX(--(BK73:BK74))+MAX(--(BK75:BK76))+MAX(--(BK77:BK78))+MAX(--(BK79:BK80))+MAX(--(BK81:BK82))+MAX(--(BK83:BK84))+MAX(--(BK85:BK86))+MAX(--(BK87:BK88))+MAX(--(BK89:BK90))+MAX(--(BK91:BK92))+MAX(--(BK93:BK94))+MAX(--(BK95:BK96))+MAX(--(BK97:BK99))+MAX(--(BK100:BK101))+MAX(--(BK102:BK103))+MAX(--(BK104:BK105))+MAX(--(BK106:BK107))+MAX(--(BK112:BK113))+MAX(--(BK119:BK120))</f>
        <v>3</v>
      </c>
      <c r="BL5" s="196" cm="1">
        <f t="array" ref="BL5">MAX(--(BL22:BL25))+MAX(--(BL26:BL29))+MAX(--(BL32:BL33))+MAX(--(BL34:BL35))+MAX(--(BL36:BL37))+MAX(--(BL38:BL39))+MAX(--(BL40:BL41))+MAX(--(BL42:BL43))+MAX(--(BL44:BL45))+MAX(--(BL46:BL47))+MAX(--(BL48:BL49))+MAX(--(BL51:BL52))+MAX(--(BL53:BL54))+MAX(--(BL55:BL56))+MAX(--(BL57:BL58))+MAX(--(BL59:BL60))+MAX(--(BL61:BL62))+MAX(--(BL63:BL64))+MAX(--(BL65:BL66))+MAX(--(BL67:BL68))+MAX(--(BL69:BL70))+MAX(--(BL71:BL72))+MAX(--(BL73:BL74))+MAX(--(BL75:BL76))+MAX(--(BL77:BL78))+MAX(--(BL79:BL80))+MAX(--(BL81:BL82))+MAX(--(BL83:BL84))+MAX(--(BL85:BL86))+MAX(--(BL87:BL88))+MAX(--(BL89:BL90))+MAX(--(BL91:BL92))+MAX(--(BL93:BL94))+MAX(--(BL95:BL96))+MAX(--(BL97:BL99))+MAX(--(BL100:BL101))+MAX(--(BL102:BL103))+MAX(--(BL104:BL105))+MAX(--(BL106:BL107))+MAX(--(BL112:BL113))+MAX(--(BL119:BL120))</f>
        <v>2</v>
      </c>
      <c r="BM5" s="196" cm="1">
        <f t="array" ref="BM5">MAX(--(BM22:BM25))+MAX(--(BM26:BM29))+MAX(--(BM32:BM33))+MAX(--(BM34:BM35))+MAX(--(BM36:BM37))+MAX(--(BM38:BM39))+MAX(--(BM40:BM41))+MAX(--(BM42:BM43))+MAX(--(BM44:BM45))+MAX(--(BM46:BM47))+MAX(--(BM48:BM49))+MAX(--(BM51:BM52))+MAX(--(BM53:BM54))+MAX(--(BM55:BM56))+MAX(--(BM57:BM58))+MAX(--(BM59:BM60))+MAX(--(BM61:BM62))+MAX(--(BM63:BM64))+MAX(--(BM65:BM66))+MAX(--(BM67:BM68))+MAX(--(BM69:BM70))+MAX(--(BM71:BM72))+MAX(--(BM73:BM74))+MAX(--(BM75:BM76))+MAX(--(BM77:BM78))+MAX(--(BM79:BM80))+MAX(--(BM81:BM82))+MAX(--(BM83:BM84))+MAX(--(BM85:BM86))+MAX(--(BM87:BM88))+MAX(--(BM89:BM90))+MAX(--(BM91:BM92))+MAX(--(BM93:BM94))+MAX(--(BM95:BM96))+MAX(--(BM97:BM99))+MAX(--(BM100:BM101))+MAX(--(BM102:BM103))+MAX(--(BM104:BM105))+MAX(--(BM106:BM107))+MAX(--(BM112:BM113))+MAX(--(BM119:BM120))</f>
        <v>2</v>
      </c>
      <c r="BN5" s="196" cm="1">
        <f t="array" ref="BN5">MAX(--(BN22:BN25))+MAX(--(BN26:BN29))+MAX(--(BN32:BN33))+MAX(--(BN34:BN35))+MAX(--(BN36:BN37))+MAX(--(BN38:BN39))+MAX(--(BN40:BN41))+MAX(--(BN42:BN43))+MAX(--(BN44:BN45))+MAX(--(BN46:BN47))+MAX(--(BN48:BN49))+MAX(--(BN51:BN52))+MAX(--(BN53:BN54))+MAX(--(BN55:BN56))+MAX(--(BN57:BN58))+MAX(--(BN59:BN60))+MAX(--(BN61:BN62))+MAX(--(BN63:BN64))+MAX(--(BN65:BN66))+MAX(--(BN67:BN68))+MAX(--(BN69:BN70))+MAX(--(BN71:BN72))+MAX(--(BN73:BN74))+MAX(--(BN75:BN76))+MAX(--(BN77:BN78))+MAX(--(BN79:BN80))+MAX(--(BN81:BN82))+MAX(--(BN83:BN84))+MAX(--(BN85:BN86))+MAX(--(BN87:BN88))+MAX(--(BN89:BN90))+MAX(--(BN91:BN92))+MAX(--(BN93:BN94))+MAX(--(BN95:BN96))+MAX(--(BN97:BN99))+MAX(--(BN100:BN101))+MAX(--(BN102:BN103))+MAX(--(BN104:BN105))+MAX(--(BN106:BN107))+MAX(--(BN112:BN113))+MAX(--(BN119:BN120))</f>
        <v>2</v>
      </c>
      <c r="BO5" s="196" cm="1">
        <f t="array" ref="BO5">MAX(--(BO22:BO25))+MAX(--(BO26:BO29))+MAX(--(BO32:BO33))+MAX(--(BO34:BO35))+MAX(--(BO36:BO37))+MAX(--(BO38:BO39))+MAX(--(BO40:BO41))+MAX(--(BO42:BO43))+MAX(--(BO44:BO45))+MAX(--(BO46:BO47))+MAX(--(BO48:BO49))+MAX(--(BO51:BO52))+MAX(--(BO53:BO54))+MAX(--(BO55:BO56))+MAX(--(BO57:BO58))+MAX(--(BO59:BO60))+MAX(--(BO61:BO62))+MAX(--(BO63:BO64))+MAX(--(BO65:BO66))+MAX(--(BO67:BO68))+MAX(--(BO69:BO70))+MAX(--(BO71:BO72))+MAX(--(BO73:BO74))+MAX(--(BO75:BO76))+MAX(--(BO77:BO78))+MAX(--(BO79:BO80))+MAX(--(BO81:BO82))+MAX(--(BO83:BO84))+MAX(--(BO85:BO86))+MAX(--(BO87:BO88))+MAX(--(BO89:BO90))+MAX(--(BO91:BO92))+MAX(--(BO93:BO94))+MAX(--(BO95:BO96))+MAX(--(BO97:BO99))+MAX(--(BO100:BO101))+MAX(--(BO102:BO103))+MAX(--(BO104:BO105))+MAX(--(BO106:BO107))+MAX(--(BO112:BO113))+MAX(--(BO119:BO120))</f>
        <v>2</v>
      </c>
      <c r="BP5" s="196" cm="1">
        <f t="array" ref="BP5">MAX(--(BP22:BP25))+MAX(--(BP26:BP29))+MAX(--(BP32:BP33))+MAX(--(BP34:BP35))+MAX(--(BP36:BP37))+MAX(--(BP38:BP39))+MAX(--(BP40:BP41))+MAX(--(BP42:BP43))+MAX(--(BP44:BP45))+MAX(--(BP46:BP47))+MAX(--(BP48:BP49))+MAX(--(BP51:BP52))+MAX(--(BP53:BP54))+MAX(--(BP55:BP56))+MAX(--(BP57:BP58))+MAX(--(BP59:BP60))+MAX(--(BP61:BP62))+MAX(--(BP63:BP64))+MAX(--(BP65:BP66))+MAX(--(BP67:BP68))+MAX(--(BP69:BP70))+MAX(--(BP71:BP72))+MAX(--(BP73:BP74))+MAX(--(BP75:BP76))+MAX(--(BP77:BP78))+MAX(--(BP79:BP80))+MAX(--(BP81:BP82))+MAX(--(BP83:BP84))+MAX(--(BP85:BP86))+MAX(--(BP87:BP88))+MAX(--(BP89:BP90))+MAX(--(BP91:BP92))+MAX(--(BP93:BP94))+MAX(--(BP95:BP96))+MAX(--(BP97:BP99))+MAX(--(BP100:BP101))+MAX(--(BP102:BP103))+MAX(--(BP104:BP105))+MAX(--(BP106:BP107))+MAX(--(BP112:BP113))+MAX(--(BP119:BP120))</f>
        <v>2</v>
      </c>
      <c r="BQ5" s="196" cm="1">
        <f t="array" ref="BQ5">MAX(--(BQ22:BQ25))+MAX(--(BQ26:BQ29))+MAX(--(BQ32:BQ33))+MAX(--(BQ34:BQ35))+MAX(--(BQ36:BQ37))+MAX(--(BQ38:BQ39))+MAX(--(BQ40:BQ41))+MAX(--(BQ42:BQ43))+MAX(--(BQ44:BQ45))+MAX(--(BQ46:BQ47))+MAX(--(BQ48:BQ49))+MAX(--(BQ51:BQ52))+MAX(--(BQ53:BQ54))+MAX(--(BQ55:BQ56))+MAX(--(BQ57:BQ58))+MAX(--(BQ59:BQ60))+MAX(--(BQ61:BQ62))+MAX(--(BQ63:BQ64))+MAX(--(BQ65:BQ66))+MAX(--(BQ67:BQ68))+MAX(--(BQ69:BQ70))+MAX(--(BQ71:BQ72))+MAX(--(BQ73:BQ74))+MAX(--(BQ75:BQ76))+MAX(--(BQ77:BQ78))+MAX(--(BQ79:BQ80))+MAX(--(BQ81:BQ82))+MAX(--(BQ83:BQ84))+MAX(--(BQ85:BQ86))+MAX(--(BQ87:BQ88))+MAX(--(BQ89:BQ90))+MAX(--(BQ91:BQ92))+MAX(--(BQ93:BQ94))+MAX(--(BQ95:BQ96))+MAX(--(BQ97:BQ99))+MAX(--(BQ100:BQ101))+MAX(--(BQ102:BQ103))+MAX(--(BQ104:BQ105))+MAX(--(BQ106:BQ107))+MAX(--(BQ112:BQ113))+MAX(--(BQ119:BQ120))</f>
        <v>2</v>
      </c>
      <c r="BR5" s="196" cm="1">
        <f t="array" ref="BR5">MAX(--(BR22:BR25))+MAX(--(BR26:BR29))+MAX(--(BR32:BR33))+MAX(--(BR34:BR35))+MAX(--(BR36:BR37))+MAX(--(BR38:BR39))+MAX(--(BR40:BR41))+MAX(--(BR42:BR43))+MAX(--(BR44:BR45))+MAX(--(BR46:BR47))+MAX(--(BR48:BR49))+MAX(--(BR51:BR52))+MAX(--(BR53:BR54))+MAX(--(BR55:BR56))+MAX(--(BR57:BR58))+MAX(--(BR59:BR60))+MAX(--(BR61:BR62))+MAX(--(BR63:BR64))+MAX(--(BR65:BR66))+MAX(--(BR67:BR68))+MAX(--(BR69:BR70))+MAX(--(BR71:BR72))+MAX(--(BR73:BR74))+MAX(--(BR75:BR76))+MAX(--(BR77:BR78))+MAX(--(BR79:BR80))+MAX(--(BR81:BR82))+MAX(--(BR83:BR84))+MAX(--(BR85:BR86))+MAX(--(BR87:BR88))+MAX(--(BR89:BR90))+MAX(--(BR91:BR92))+MAX(--(BR93:BR94))+MAX(--(BR95:BR96))+MAX(--(BR97:BR99))+MAX(--(BR100:BR101))+MAX(--(BR102:BR103))+MAX(--(BR104:BR105))+MAX(--(BR106:BR107))+MAX(--(BR112:BR113))+MAX(--(BR119:BR120))</f>
        <v>2</v>
      </c>
      <c r="BS5" s="196" cm="1">
        <f t="array" ref="BS5">MAX(--(BS22:BS25))+MAX(--(BS26:BS29))+MAX(--(BS32:BS33))+MAX(--(BS34:BS35))+MAX(--(BS36:BS37))+MAX(--(BS38:BS39))+MAX(--(BS40:BS41))+MAX(--(BS42:BS43))+MAX(--(BS44:BS45))+MAX(--(BS46:BS47))+MAX(--(BS48:BS49))+MAX(--(BS51:BS52))+MAX(--(BS53:BS54))+MAX(--(BS55:BS56))+MAX(--(BS57:BS58))+MAX(--(BS59:BS60))+MAX(--(BS61:BS62))+MAX(--(BS63:BS64))+MAX(--(BS65:BS66))+MAX(--(BS67:BS68))+MAX(--(BS69:BS70))+MAX(--(BS71:BS72))+MAX(--(BS73:BS74))+MAX(--(BS75:BS76))+MAX(--(BS77:BS78))+MAX(--(BS79:BS80))+MAX(--(BS81:BS82))+MAX(--(BS83:BS84))+MAX(--(BS85:BS86))+MAX(--(BS87:BS88))+MAX(--(BS89:BS90))+MAX(--(BS91:BS92))+MAX(--(BS93:BS94))+MAX(--(BS95:BS96))+MAX(--(BS97:BS99))+MAX(--(BS100:BS101))+MAX(--(BS102:BS103))+MAX(--(BS104:BS105))+MAX(--(BS106:BS107))+MAX(--(BS112:BS113))+MAX(--(BS119:BS120))</f>
        <v>2</v>
      </c>
      <c r="BT5" s="196" cm="1">
        <f t="array" ref="BT5">MAX(--(BT22:BT25))+MAX(--(BT26:BT29))+MAX(--(BT32:BT33))+MAX(--(BT34:BT35))+MAX(--(BT36:BT37))+MAX(--(BT38:BT39))+MAX(--(BT40:BT41))+MAX(--(BT42:BT43))+MAX(--(BT44:BT45))+MAX(--(BT46:BT47))+MAX(--(BT48:BT49))+MAX(--(BT51:BT52))+MAX(--(BT53:BT54))+MAX(--(BT55:BT56))+MAX(--(BT57:BT58))+MAX(--(BT59:BT60))+MAX(--(BT61:BT62))+MAX(--(BT63:BT64))+MAX(--(BT65:BT66))+MAX(--(BT67:BT68))+MAX(--(BT69:BT70))+MAX(--(BT71:BT72))+MAX(--(BT73:BT74))+MAX(--(BT75:BT76))+MAX(--(BT77:BT78))+MAX(--(BT79:BT80))+MAX(--(BT81:BT82))+MAX(--(BT83:BT84))+MAX(--(BT85:BT86))+MAX(--(BT87:BT88))+MAX(--(BT89:BT90))+MAX(--(BT91:BT92))+MAX(--(BT93:BT94))+MAX(--(BT95:BT96))+MAX(--(BT97:BT99))+MAX(--(BT100:BT101))+MAX(--(BT102:BT103))+MAX(--(BT104:BT105))+MAX(--(BT106:BT107))+MAX(--(BT112:BT113))+MAX(--(BT119:BT120))</f>
        <v>2</v>
      </c>
      <c r="BU5" s="196" cm="1">
        <f t="array" ref="BU5">MAX(--(BU22:BU25))+MAX(--(BU26:BU29))+MAX(--(BU32:BU33))+MAX(--(BU34:BU35))+MAX(--(BU36:BU37))+MAX(--(BU38:BU39))+MAX(--(BU40:BU41))+MAX(--(BU42:BU43))+MAX(--(BU44:BU45))+MAX(--(BU46:BU47))+MAX(--(BU48:BU49))+MAX(--(BU51:BU52))+MAX(--(BU53:BU54))+MAX(--(BU55:BU56))+MAX(--(BU57:BU58))+MAX(--(BU59:BU60))+MAX(--(BU61:BU62))+MAX(--(BU63:BU64))+MAX(--(BU65:BU66))+MAX(--(BU67:BU68))+MAX(--(BU69:BU70))+MAX(--(BU71:BU72))+MAX(--(BU73:BU74))+MAX(--(BU75:BU76))+MAX(--(BU77:BU78))+MAX(--(BU79:BU80))+MAX(--(BU81:BU82))+MAX(--(BU83:BU84))+MAX(--(BU85:BU86))+MAX(--(BU87:BU88))+MAX(--(BU89:BU90))+MAX(--(BU91:BU92))+MAX(--(BU93:BU94))+MAX(--(BU95:BU96))+MAX(--(BU97:BU99))+MAX(--(BU100:BU101))+MAX(--(BU102:BU103))+MAX(--(BU104:BU105))+MAX(--(BU106:BU107))+MAX(--(BU112:BU113))+MAX(--(BU119:BU120))</f>
        <v>2</v>
      </c>
      <c r="BV5" s="196" cm="1">
        <f t="array" ref="BV5">MAX(--(BV22:BV25))+MAX(--(BV26:BV29))+MAX(--(BV32:BV33))+MAX(--(BV34:BV35))+MAX(--(BV36:BV37))+MAX(--(BV38:BV39))+MAX(--(BV40:BV41))+MAX(--(BV42:BV43))+MAX(--(BV44:BV45))+MAX(--(BV46:BV47))+MAX(--(BV48:BV49))+MAX(--(BV51:BV52))+MAX(--(BV53:BV54))+MAX(--(BV55:BV56))+MAX(--(BV57:BV58))+MAX(--(BV59:BV60))+MAX(--(BV61:BV62))+MAX(--(BV63:BV64))+MAX(--(BV65:BV66))+MAX(--(BV67:BV68))+MAX(--(BV69:BV70))+MAX(--(BV71:BV72))+MAX(--(BV73:BV74))+MAX(--(BV75:BV76))+MAX(--(BV77:BV78))+MAX(--(BV79:BV80))+MAX(--(BV81:BV82))+MAX(--(BV83:BV84))+MAX(--(BV85:BV86))+MAX(--(BV87:BV88))+MAX(--(BV89:BV90))+MAX(--(BV91:BV92))+MAX(--(BV93:BV94))+MAX(--(BV95:BV96))+MAX(--(BV97:BV99))+MAX(--(BV100:BV101))+MAX(--(BV102:BV103))+MAX(--(BV104:BV105))+MAX(--(BV106:BV107))+MAX(--(BV112:BV113))+MAX(--(BV119:BV120))</f>
        <v>2</v>
      </c>
      <c r="BW5" s="196" cm="1">
        <f t="array" ref="BW5">MAX(--(BW22:BW25))+MAX(--(BW26:BW29))+MAX(--(BW32:BW33))+MAX(--(BW34:BW35))+MAX(--(BW36:BW37))+MAX(--(BW38:BW39))+MAX(--(BW40:BW41))+MAX(--(BW42:BW43))+MAX(--(BW44:BW45))+MAX(--(BW46:BW47))+MAX(--(BW48:BW49))+MAX(--(BW51:BW52))+MAX(--(BW53:BW54))+MAX(--(BW55:BW56))+MAX(--(BW57:BW58))+MAX(--(BW59:BW60))+MAX(--(BW61:BW62))+MAX(--(BW63:BW64))+MAX(--(BW65:BW66))+MAX(--(BW67:BW68))+MAX(--(BW69:BW70))+MAX(--(BW71:BW72))+MAX(--(BW73:BW74))+MAX(--(BW75:BW76))+MAX(--(BW77:BW78))+MAX(--(BW79:BW80))+MAX(--(BW81:BW82))+MAX(--(BW83:BW84))+MAX(--(BW85:BW86))+MAX(--(BW87:BW88))+MAX(--(BW89:BW90))+MAX(--(BW91:BW92))+MAX(--(BW93:BW94))+MAX(--(BW95:BW96))+MAX(--(BW97:BW99))+MAX(--(BW100:BW101))+MAX(--(BW102:BW103))+MAX(--(BW104:BW105))+MAX(--(BW106:BW107))+MAX(--(BW112:BW113))+MAX(--(BW119:BW120))</f>
        <v>1</v>
      </c>
      <c r="BX5" s="196" cm="1">
        <f t="array" ref="BX5">MAX(--(BX22:BX25))+MAX(--(BX26:BX29))+MAX(--(BX32:BX33))+MAX(--(BX34:BX35))+MAX(--(BX36:BX37))+MAX(--(BX38:BX39))+MAX(--(BX40:BX41))+MAX(--(BX42:BX43))+MAX(--(BX44:BX45))+MAX(--(BX46:BX47))+MAX(--(BX48:BX49))+MAX(--(BX51:BX52))+MAX(--(BX53:BX54))+MAX(--(BX55:BX56))+MAX(--(BX57:BX58))+MAX(--(BX59:BX60))+MAX(--(BX61:BX62))+MAX(--(BX63:BX64))+MAX(--(BX65:BX66))+MAX(--(BX67:BX68))+MAX(--(BX69:BX70))+MAX(--(BX71:BX72))+MAX(--(BX73:BX74))+MAX(--(BX75:BX76))+MAX(--(BX77:BX78))+MAX(--(BX79:BX80))+MAX(--(BX81:BX82))+MAX(--(BX83:BX84))+MAX(--(BX85:BX86))+MAX(--(BX87:BX88))+MAX(--(BX89:BX90))+MAX(--(BX91:BX92))+MAX(--(BX93:BX94))+MAX(--(BX95:BX96))+MAX(--(BX97:BX99))+MAX(--(BX100:BX101))+MAX(--(BX102:BX103))+MAX(--(BX104:BX105))+MAX(--(BX106:BX107))+MAX(--(BX112:BX113))+MAX(--(BX119:BX120))</f>
        <v>2</v>
      </c>
      <c r="BY5" s="196" cm="1">
        <f t="array" ref="BY5">MAX(--(BY22:BY25))+MAX(--(BY26:BY29))+MAX(--(BY32:BY33))+MAX(--(BY34:BY35))+MAX(--(BY36:BY37))+MAX(--(BY38:BY39))+MAX(--(BY40:BY41))+MAX(--(BY42:BY43))+MAX(--(BY44:BY45))+MAX(--(BY46:BY47))+MAX(--(BY48:BY49))+MAX(--(BY51:BY52))+MAX(--(BY53:BY54))+MAX(--(BY55:BY56))+MAX(--(BY57:BY58))+MAX(--(BY59:BY60))+MAX(--(BY61:BY62))+MAX(--(BY63:BY64))+MAX(--(BY65:BY66))+MAX(--(BY67:BY68))+MAX(--(BY69:BY70))+MAX(--(BY71:BY72))+MAX(--(BY73:BY74))+MAX(--(BY75:BY76))+MAX(--(BY77:BY78))+MAX(--(BY79:BY80))+MAX(--(BY81:BY82))+MAX(--(BY83:BY84))+MAX(--(BY85:BY86))+MAX(--(BY87:BY88))+MAX(--(BY89:BY90))+MAX(--(BY91:BY92))+MAX(--(BY93:BY94))+MAX(--(BY95:BY96))+MAX(--(BY97:BY99))+MAX(--(BY100:BY101))+MAX(--(BY102:BY103))+MAX(--(BY104:BY105))+MAX(--(BY106:BY107))+MAX(--(BY112:BY113))+MAX(--(BY119:BY120))</f>
        <v>2</v>
      </c>
      <c r="BZ5" s="196" cm="1">
        <f t="array" ref="BZ5">MAX(--(BZ22:BZ25))+MAX(--(BZ26:BZ29))+MAX(--(BZ32:BZ33))+MAX(--(BZ34:BZ35))+MAX(--(BZ36:BZ37))+MAX(--(BZ38:BZ39))+MAX(--(BZ40:BZ41))+MAX(--(BZ42:BZ43))+MAX(--(BZ44:BZ45))+MAX(--(BZ46:BZ47))+MAX(--(BZ48:BZ49))+MAX(--(BZ51:BZ52))+MAX(--(BZ53:BZ54))+MAX(--(BZ55:BZ56))+MAX(--(BZ57:BZ58))+MAX(--(BZ59:BZ60))+MAX(--(BZ61:BZ62))+MAX(--(BZ63:BZ64))+MAX(--(BZ65:BZ66))+MAX(--(BZ67:BZ68))+MAX(--(BZ69:BZ70))+MAX(--(BZ71:BZ72))+MAX(--(BZ73:BZ74))+MAX(--(BZ75:BZ76))+MAX(--(BZ77:BZ78))+MAX(--(BZ79:BZ80))+MAX(--(BZ81:BZ82))+MAX(--(BZ83:BZ84))+MAX(--(BZ85:BZ86))+MAX(--(BZ87:BZ88))+MAX(--(BZ89:BZ90))+MAX(--(BZ91:BZ92))+MAX(--(BZ93:BZ94))+MAX(--(BZ95:BZ96))+MAX(--(BZ97:BZ99))+MAX(--(BZ100:BZ101))+MAX(--(BZ102:BZ103))+MAX(--(BZ104:BZ105))+MAX(--(BZ106:BZ107))+MAX(--(BZ112:BZ113))+MAX(--(BZ119:BZ120))</f>
        <v>2</v>
      </c>
      <c r="CA5" s="196" cm="1">
        <f t="array" ref="CA5">MAX(--(CA22:CA25))+MAX(--(CA26:CA29))+MAX(--(CA32:CA33))+MAX(--(CA34:CA35))+MAX(--(CA36:CA37))+MAX(--(CA38:CA39))+MAX(--(CA40:CA41))+MAX(--(CA42:CA43))+MAX(--(CA44:CA45))+MAX(--(CA46:CA47))+MAX(--(CA48:CA49))+MAX(--(CA51:CA52))+MAX(--(CA53:CA54))+MAX(--(CA55:CA56))+MAX(--(CA57:CA58))+MAX(--(CA59:CA60))+MAX(--(CA61:CA62))+MAX(--(CA63:CA64))+MAX(--(CA65:CA66))+MAX(--(CA67:CA68))+MAX(--(CA69:CA70))+MAX(--(CA71:CA72))+MAX(--(CA73:CA74))+MAX(--(CA75:CA76))+MAX(--(CA77:CA78))+MAX(--(CA79:CA80))+MAX(--(CA81:CA82))+MAX(--(CA83:CA84))+MAX(--(CA85:CA86))+MAX(--(CA87:CA88))+MAX(--(CA89:CA90))+MAX(--(CA91:CA92))+MAX(--(CA93:CA94))+MAX(--(CA95:CA96))+MAX(--(CA97:CA99))+MAX(--(CA100:CA101))+MAX(--(CA102:CA103))+MAX(--(CA104:CA105))+MAX(--(CA106:CA107))+MAX(--(CA112:CA113))+MAX(--(CA119:CA120))</f>
        <v>2</v>
      </c>
      <c r="CB5" s="196" cm="1">
        <f t="array" ref="CB5">MAX(--(CB22:CB25))+MAX(--(CB26:CB29))+MAX(--(CB32:CB33))+MAX(--(CB34:CB35))+MAX(--(CB36:CB37))+MAX(--(CB38:CB39))+MAX(--(CB40:CB41))+MAX(--(CB42:CB43))+MAX(--(CB44:CB45))+MAX(--(CB46:CB47))+MAX(--(CB48:CB49))+MAX(--(CB51:CB52))+MAX(--(CB53:CB54))+MAX(--(CB55:CB56))+MAX(--(CB57:CB58))+MAX(--(CB59:CB60))+MAX(--(CB61:CB62))+MAX(--(CB63:CB64))+MAX(--(CB65:CB66))+MAX(--(CB67:CB68))+MAX(--(CB69:CB70))+MAX(--(CB71:CB72))+MAX(--(CB73:CB74))+MAX(--(CB75:CB76))+MAX(--(CB77:CB78))+MAX(--(CB79:CB80))+MAX(--(CB81:CB82))+MAX(--(CB83:CB84))+MAX(--(CB85:CB86))+MAX(--(CB87:CB88))+MAX(--(CB89:CB90))+MAX(--(CB91:CB92))+MAX(--(CB93:CB94))+MAX(--(CB95:CB96))+MAX(--(CB97:CB99))+MAX(--(CB100:CB101))+MAX(--(CB102:CB103))+MAX(--(CB104:CB105))+MAX(--(CB106:CB107))+MAX(--(CB112:CB113))+MAX(--(CB119:CB120))</f>
        <v>2</v>
      </c>
      <c r="CC5" s="196" cm="1">
        <f t="array" ref="CC5">MAX(--(CC22:CC25))+MAX(--(CC26:CC29))+MAX(--(CC32:CC33))+MAX(--(CC34:CC35))+MAX(--(CC36:CC37))+MAX(--(CC38:CC39))+MAX(--(CC40:CC41))+MAX(--(CC42:CC43))+MAX(--(CC44:CC45))+MAX(--(CC46:CC47))+MAX(--(CC48:CC49))+MAX(--(CC51:CC52))+MAX(--(CC53:CC54))+MAX(--(CC55:CC56))+MAX(--(CC57:CC58))+MAX(--(CC59:CC60))+MAX(--(CC61:CC62))+MAX(--(CC63:CC64))+MAX(--(CC65:CC66))+MAX(--(CC67:CC68))+MAX(--(CC69:CC70))+MAX(--(CC71:CC72))+MAX(--(CC73:CC74))+MAX(--(CC75:CC76))+MAX(--(CC77:CC78))+MAX(--(CC79:CC80))+MAX(--(CC81:CC82))+MAX(--(CC83:CC84))+MAX(--(CC85:CC86))+MAX(--(CC87:CC88))+MAX(--(CC89:CC90))+MAX(--(CC91:CC92))+MAX(--(CC93:CC94))+MAX(--(CC95:CC96))+MAX(--(CC97:CC99))+MAX(--(CC100:CC101))+MAX(--(CC102:CC103))+MAX(--(CC104:CC105))+MAX(--(CC106:CC107))+MAX(--(CC112:CC113))+MAX(--(CC119:CC120))</f>
        <v>2</v>
      </c>
      <c r="CD5" s="196" cm="1">
        <f t="array" ref="CD5">MAX(--(CD22:CD25))+MAX(--(CD26:CD29))+MAX(--(CD32:CD33))+MAX(--(CD34:CD35))+MAX(--(CD36:CD37))+MAX(--(CD38:CD39))+MAX(--(CD40:CD41))+MAX(--(CD42:CD43))+MAX(--(CD44:CD45))+MAX(--(CD46:CD47))+MAX(--(CD48:CD49))+MAX(--(CD51:CD52))+MAX(--(CD53:CD54))+MAX(--(CD55:CD56))+MAX(--(CD57:CD58))+MAX(--(CD59:CD60))+MAX(--(CD61:CD62))+MAX(--(CD63:CD64))+MAX(--(CD65:CD66))+MAX(--(CD67:CD68))+MAX(--(CD69:CD70))+MAX(--(CD71:CD72))+MAX(--(CD73:CD74))+MAX(--(CD75:CD76))+MAX(--(CD77:CD78))+MAX(--(CD79:CD80))+MAX(--(CD81:CD82))+MAX(--(CD83:CD84))+MAX(--(CD85:CD86))+MAX(--(CD87:CD88))+MAX(--(CD89:CD90))+MAX(--(CD91:CD92))+MAX(--(CD93:CD94))+MAX(--(CD95:CD96))+MAX(--(CD97:CD99))+MAX(--(CD100:CD101))+MAX(--(CD102:CD103))+MAX(--(CD104:CD105))+MAX(--(CD106:CD107))+MAX(--(CD112:CD113))+MAX(--(CD119:CD120))</f>
        <v>4</v>
      </c>
      <c r="CE5" s="196" cm="1">
        <f t="array" ref="CE5">MAX(--(CE22:CE25))+MAX(--(CE26:CE29))+MAX(--(CE32:CE33))+MAX(--(CE34:CE35))+MAX(--(CE36:CE37))+MAX(--(CE38:CE39))+MAX(--(CE40:CE41))+MAX(--(CE42:CE43))+MAX(--(CE44:CE45))+MAX(--(CE46:CE47))+MAX(--(CE48:CE49))+MAX(--(CE51:CE52))+MAX(--(CE53:CE54))+MAX(--(CE55:CE56))+MAX(--(CE57:CE58))+MAX(--(CE59:CE60))+MAX(--(CE61:CE62))+MAX(--(CE63:CE64))+MAX(--(CE65:CE66))+MAX(--(CE67:CE68))+MAX(--(CE69:CE70))+MAX(--(CE71:CE72))+MAX(--(CE73:CE74))+MAX(--(CE75:CE76))+MAX(--(CE77:CE78))+MAX(--(CE79:CE80))+MAX(--(CE81:CE82))+MAX(--(CE83:CE84))+MAX(--(CE85:CE86))+MAX(--(CE87:CE88))+MAX(--(CE89:CE90))+MAX(--(CE91:CE92))+MAX(--(CE93:CE94))+MAX(--(CE95:CE96))+MAX(--(CE97:CE99))+MAX(--(CE100:CE101))+MAX(--(CE102:CE103))+MAX(--(CE104:CE105))+MAX(--(CE106:CE107))+MAX(--(CE112:CE113))+MAX(--(CE119:CE120))</f>
        <v>4</v>
      </c>
      <c r="CF5" s="196" cm="1">
        <f t="array" ref="CF5">MAX(--(CF22:CF25))+MAX(--(CF26:CF29))+MAX(--(CF32:CF33))+MAX(--(CF34:CF35))+MAX(--(CF36:CF37))+MAX(--(CF38:CF39))+MAX(--(CF40:CF41))+MAX(--(CF42:CF43))+MAX(--(CF44:CF45))+MAX(--(CF46:CF47))+MAX(--(CF48:CF49))+MAX(--(CF51:CF52))+MAX(--(CF53:CF54))+MAX(--(CF55:CF56))+MAX(--(CF57:CF58))+MAX(--(CF59:CF60))+MAX(--(CF61:CF62))+MAX(--(CF63:CF64))+MAX(--(CF65:CF66))+MAX(--(CF67:CF68))+MAX(--(CF69:CF70))+MAX(--(CF71:CF72))+MAX(--(CF73:CF74))+MAX(--(CF75:CF76))+MAX(--(CF77:CF78))+MAX(--(CF79:CF80))+MAX(--(CF81:CF82))+MAX(--(CF83:CF84))+MAX(--(CF85:CF86))+MAX(--(CF87:CF88))+MAX(--(CF89:CF90))+MAX(--(CF91:CF92))+MAX(--(CF93:CF94))+MAX(--(CF95:CF96))+MAX(--(CF97:CF99))+MAX(--(CF100:CF101))+MAX(--(CF102:CF103))+MAX(--(CF104:CF105))+MAX(--(CF106:CF107))+MAX(--(CF112:CF113))+MAX(--(CF119:CF120))</f>
        <v>4</v>
      </c>
      <c r="CG5" s="196" cm="1">
        <f t="array" ref="CG5">MAX(--(CG22:CG25))+MAX(--(CG26:CG29))+MAX(--(CG32:CG33))+MAX(--(CG34:CG35))+MAX(--(CG36:CG37))+MAX(--(CG38:CG39))+MAX(--(CG40:CG41))+MAX(--(CG42:CG43))+MAX(--(CG44:CG45))+MAX(--(CG46:CG47))+MAX(--(CG48:CG49))+MAX(--(CG51:CG52))+MAX(--(CG53:CG54))+MAX(--(CG55:CG56))+MAX(--(CG57:CG58))+MAX(--(CG59:CG60))+MAX(--(CG61:CG62))+MAX(--(CG63:CG64))+MAX(--(CG65:CG66))+MAX(--(CG67:CG68))+MAX(--(CG69:CG70))+MAX(--(CG71:CG72))+MAX(--(CG73:CG74))+MAX(--(CG75:CG76))+MAX(--(CG77:CG78))+MAX(--(CG79:CG80))+MAX(--(CG81:CG82))+MAX(--(CG83:CG84))+MAX(--(CG85:CG86))+MAX(--(CG87:CG88))+MAX(--(CG89:CG90))+MAX(--(CG91:CG92))+MAX(--(CG93:CG94))+MAX(--(CG95:CG96))+MAX(--(CG97:CG99))+MAX(--(CG100:CG101))+MAX(--(CG102:CG103))+MAX(--(CG104:CG105))+MAX(--(CG106:CG107))+MAX(--(CG112:CG113))+MAX(--(CG119:CG120))</f>
        <v>3</v>
      </c>
      <c r="CH5" s="196" cm="1">
        <f t="array" ref="CH5">MAX(--(CH22:CH25))+MAX(--(CH26:CH29))+MAX(--(CH32:CH33))+MAX(--(CH34:CH35))+MAX(--(CH36:CH37))+MAX(--(CH38:CH39))+MAX(--(CH40:CH41))+MAX(--(CH42:CH43))+MAX(--(CH44:CH45))+MAX(--(CH46:CH47))+MAX(--(CH48:CH49))+MAX(--(CH51:CH52))+MAX(--(CH53:CH54))+MAX(--(CH55:CH56))+MAX(--(CH57:CH58))+MAX(--(CH59:CH60))+MAX(--(CH61:CH62))+MAX(--(CH63:CH64))+MAX(--(CH65:CH66))+MAX(--(CH67:CH68))+MAX(--(CH69:CH70))+MAX(--(CH71:CH72))+MAX(--(CH73:CH74))+MAX(--(CH75:CH76))+MAX(--(CH77:CH78))+MAX(--(CH79:CH80))+MAX(--(CH81:CH82))+MAX(--(CH83:CH84))+MAX(--(CH85:CH86))+MAX(--(CH87:CH88))+MAX(--(CH89:CH90))+MAX(--(CH91:CH92))+MAX(--(CH93:CH94))+MAX(--(CH95:CH96))+MAX(--(CH97:CH99))+MAX(--(CH100:CH101))+MAX(--(CH102:CH103))+MAX(--(CH104:CH105))+MAX(--(CH106:CH107))+MAX(--(CH112:CH113))+MAX(--(CH119:CH120))</f>
        <v>4</v>
      </c>
      <c r="CI5" s="196" cm="1">
        <f t="array" ref="CI5">MAX(--(CI22:CI25))+MAX(--(CI26:CI29))+MAX(--(CI32:CI33))+MAX(--(CI34:CI35))+MAX(--(CI36:CI37))+MAX(--(CI38:CI39))+MAX(--(CI40:CI41))+MAX(--(CI42:CI43))+MAX(--(CI44:CI45))+MAX(--(CI46:CI47))+MAX(--(CI48:CI49))+MAX(--(CI51:CI52))+MAX(--(CI53:CI54))+MAX(--(CI55:CI56))+MAX(--(CI57:CI58))+MAX(--(CI59:CI60))+MAX(--(CI61:CI62))+MAX(--(CI63:CI64))+MAX(--(CI65:CI66))+MAX(--(CI67:CI68))+MAX(--(CI69:CI70))+MAX(--(CI71:CI72))+MAX(--(CI73:CI74))+MAX(--(CI75:CI76))+MAX(--(CI77:CI78))+MAX(--(CI79:CI80))+MAX(--(CI81:CI82))+MAX(--(CI83:CI84))+MAX(--(CI85:CI86))+MAX(--(CI87:CI88))+MAX(--(CI89:CI90))+MAX(--(CI91:CI92))+MAX(--(CI93:CI94))+MAX(--(CI95:CI96))+MAX(--(CI97:CI99))+MAX(--(CI100:CI101))+MAX(--(CI102:CI103))+MAX(--(CI104:CI105))+MAX(--(CI106:CI107))+MAX(--(CI112:CI113))+MAX(--(CI119:CI120))</f>
        <v>3</v>
      </c>
      <c r="CJ5" s="196" cm="1">
        <f t="array" ref="CJ5">MAX(--(CJ22:CJ25))+MAX(--(CJ26:CJ29))+MAX(--(CJ32:CJ33))+MAX(--(CJ34:CJ35))+MAX(--(CJ36:CJ37))+MAX(--(CJ38:CJ39))+MAX(--(CJ40:CJ41))+MAX(--(CJ42:CJ43))+MAX(--(CJ44:CJ45))+MAX(--(CJ46:CJ47))+MAX(--(CJ48:CJ49))+MAX(--(CJ51:CJ52))+MAX(--(CJ53:CJ54))+MAX(--(CJ55:CJ56))+MAX(--(CJ57:CJ58))+MAX(--(CJ59:CJ60))+MAX(--(CJ61:CJ62))+MAX(--(CJ63:CJ64))+MAX(--(CJ65:CJ66))+MAX(--(CJ67:CJ68))+MAX(--(CJ69:CJ70))+MAX(--(CJ71:CJ72))+MAX(--(CJ73:CJ74))+MAX(--(CJ75:CJ76))+MAX(--(CJ77:CJ78))+MAX(--(CJ79:CJ80))+MAX(--(CJ81:CJ82))+MAX(--(CJ83:CJ84))+MAX(--(CJ85:CJ86))+MAX(--(CJ87:CJ88))+MAX(--(CJ89:CJ90))+MAX(--(CJ91:CJ92))+MAX(--(CJ93:CJ94))+MAX(--(CJ95:CJ96))+MAX(--(CJ97:CJ99))+MAX(--(CJ100:CJ101))+MAX(--(CJ102:CJ103))+MAX(--(CJ104:CJ105))+MAX(--(CJ106:CJ107))+MAX(--(CJ112:CJ113))+MAX(--(CJ119:CJ120))</f>
        <v>3</v>
      </c>
      <c r="CK5" s="196" cm="1">
        <f t="array" ref="CK5">MAX(--(CK22:CK25))+MAX(--(CK26:CK29))+MAX(--(CK32:CK33))+MAX(--(CK34:CK35))+MAX(--(CK36:CK37))+MAX(--(CK38:CK39))+MAX(--(CK40:CK41))+MAX(--(CK42:CK43))+MAX(--(CK44:CK45))+MAX(--(CK46:CK47))+MAX(--(CK48:CK49))+MAX(--(CK51:CK52))+MAX(--(CK53:CK54))+MAX(--(CK55:CK56))+MAX(--(CK57:CK58))+MAX(--(CK59:CK60))+MAX(--(CK61:CK62))+MAX(--(CK63:CK64))+MAX(--(CK65:CK66))+MAX(--(CK67:CK68))+MAX(--(CK69:CK70))+MAX(--(CK71:CK72))+MAX(--(CK73:CK74))+MAX(--(CK75:CK76))+MAX(--(CK77:CK78))+MAX(--(CK79:CK80))+MAX(--(CK81:CK82))+MAX(--(CK83:CK84))+MAX(--(CK85:CK86))+MAX(--(CK87:CK88))+MAX(--(CK89:CK90))+MAX(--(CK91:CK92))+MAX(--(CK93:CK94))+MAX(--(CK95:CK96))+MAX(--(CK97:CK99))+MAX(--(CK100:CK101))+MAX(--(CK102:CK103))+MAX(--(CK104:CK105))+MAX(--(CK106:CK107))+MAX(--(CK112:CK113))+MAX(--(CK119:CK120))</f>
        <v>1</v>
      </c>
      <c r="CL5" s="196" cm="1">
        <f t="array" ref="CL5">MAX(--(CL22:CL25))+MAX(--(CL26:CL29))+MAX(--(CL32:CL33))+MAX(--(CL34:CL35))+MAX(--(CL36:CL37))+MAX(--(CL38:CL39))+MAX(--(CL40:CL41))+MAX(--(CL42:CL43))+MAX(--(CL44:CL45))+MAX(--(CL46:CL47))+MAX(--(CL48:CL49))+MAX(--(CL51:CL52))+MAX(--(CL53:CL54))+MAX(--(CL55:CL56))+MAX(--(CL57:CL58))+MAX(--(CL59:CL60))+MAX(--(CL61:CL62))+MAX(--(CL63:CL64))+MAX(--(CL65:CL66))+MAX(--(CL67:CL68))+MAX(--(CL69:CL70))+MAX(--(CL71:CL72))+MAX(--(CL73:CL74))+MAX(--(CL75:CL76))+MAX(--(CL77:CL78))+MAX(--(CL79:CL80))+MAX(--(CL81:CL82))+MAX(--(CL83:CL84))+MAX(--(CL85:CL86))+MAX(--(CL87:CL88))+MAX(--(CL89:CL90))+MAX(--(CL91:CL92))+MAX(--(CL93:CL94))+MAX(--(CL95:CL96))+MAX(--(CL97:CL99))+MAX(--(CL100:CL101))+MAX(--(CL102:CL103))+MAX(--(CL104:CL105))+MAX(--(CL106:CL107))+MAX(--(CL112:CL113))+MAX(--(CL119:CL120))</f>
        <v>2</v>
      </c>
      <c r="CM5" s="196" cm="1">
        <f t="array" ref="CM5">MAX(--(CM22:CM25))+MAX(--(CM26:CM29))+MAX(--(CM32:CM33))+MAX(--(CM34:CM35))+MAX(--(CM36:CM37))+MAX(--(CM38:CM39))+MAX(--(CM40:CM41))+MAX(--(CM42:CM43))+MAX(--(CM44:CM45))+MAX(--(CM46:CM47))+MAX(--(CM48:CM49))+MAX(--(CM51:CM52))+MAX(--(CM53:CM54))+MAX(--(CM55:CM56))+MAX(--(CM57:CM58))+MAX(--(CM59:CM60))+MAX(--(CM61:CM62))+MAX(--(CM63:CM64))+MAX(--(CM65:CM66))+MAX(--(CM67:CM68))+MAX(--(CM69:CM70))+MAX(--(CM71:CM72))+MAX(--(CM73:CM74))+MAX(--(CM75:CM76))+MAX(--(CM77:CM78))+MAX(--(CM79:CM80))+MAX(--(CM81:CM82))+MAX(--(CM83:CM84))+MAX(--(CM85:CM86))+MAX(--(CM87:CM88))+MAX(--(CM89:CM90))+MAX(--(CM91:CM92))+MAX(--(CM93:CM94))+MAX(--(CM95:CM96))+MAX(--(CM97:CM99))+MAX(--(CM100:CM101))+MAX(--(CM102:CM103))+MAX(--(CM104:CM105))+MAX(--(CM106:CM107))+MAX(--(CM112:CM113))+MAX(--(CM119:CM120))</f>
        <v>2</v>
      </c>
      <c r="CN5" s="196" cm="1">
        <f t="array" ref="CN5">MAX(--(CN22:CN25))+MAX(--(CN26:CN29))+MAX(--(CN32:CN33))+MAX(--(CN34:CN35))+MAX(--(CN36:CN37))+MAX(--(CN38:CN39))+MAX(--(CN40:CN41))+MAX(--(CN42:CN43))+MAX(--(CN44:CN45))+MAX(--(CN46:CN47))+MAX(--(CN48:CN49))+MAX(--(CN51:CN52))+MAX(--(CN53:CN54))+MAX(--(CN55:CN56))+MAX(--(CN57:CN58))+MAX(--(CN59:CN60))+MAX(--(CN61:CN62))+MAX(--(CN63:CN64))+MAX(--(CN65:CN66))+MAX(--(CN67:CN68))+MAX(--(CN69:CN70))+MAX(--(CN71:CN72))+MAX(--(CN73:CN74))+MAX(--(CN75:CN76))+MAX(--(CN77:CN78))+MAX(--(CN79:CN80))+MAX(--(CN81:CN82))+MAX(--(CN83:CN84))+MAX(--(CN85:CN86))+MAX(--(CN87:CN88))+MAX(--(CN89:CN90))+MAX(--(CN91:CN92))+MAX(--(CN93:CN94))+MAX(--(CN95:CN96))+MAX(--(CN97:CN99))+MAX(--(CN100:CN101))+MAX(--(CN102:CN103))+MAX(--(CN104:CN105))+MAX(--(CN106:CN107))+MAX(--(CN112:CN113))+MAX(--(CN119:CN120))</f>
        <v>2</v>
      </c>
      <c r="CO5" s="196" cm="1">
        <f t="array" ref="CO5">MAX(--(CO22:CO25))+MAX(--(CO26:CO29))+MAX(--(CO32:CO33))+MAX(--(CO34:CO35))+MAX(--(CO36:CO37))+MAX(--(CO38:CO39))+MAX(--(CO40:CO41))+MAX(--(CO42:CO43))+MAX(--(CO44:CO45))+MAX(--(CO46:CO47))+MAX(--(CO48:CO49))+MAX(--(CO51:CO52))+MAX(--(CO53:CO54))+MAX(--(CO55:CO56))+MAX(--(CO57:CO58))+MAX(--(CO59:CO60))+MAX(--(CO61:CO62))+MAX(--(CO63:CO64))+MAX(--(CO65:CO66))+MAX(--(CO67:CO68))+MAX(--(CO69:CO70))+MAX(--(CO71:CO72))+MAX(--(CO73:CO74))+MAX(--(CO75:CO76))+MAX(--(CO77:CO78))+MAX(--(CO79:CO80))+MAX(--(CO81:CO82))+MAX(--(CO83:CO84))+MAX(--(CO85:CO86))+MAX(--(CO87:CO88))+MAX(--(CO89:CO90))+MAX(--(CO91:CO92))+MAX(--(CO93:CO94))+MAX(--(CO95:CO96))+MAX(--(CO97:CO99))+MAX(--(CO100:CO101))+MAX(--(CO102:CO103))+MAX(--(CO104:CO105))+MAX(--(CO106:CO107))+MAX(--(CO112:CO113))+MAX(--(CO119:CO120))</f>
        <v>4</v>
      </c>
      <c r="CP5" s="196" cm="1">
        <f t="array" ref="CP5">MAX(--(CP22:CP25))+MAX(--(CP26:CP29))+MAX(--(CP32:CP33))+MAX(--(CP34:CP35))+MAX(--(CP36:CP37))+MAX(--(CP38:CP39))+MAX(--(CP40:CP41))+MAX(--(CP42:CP43))+MAX(--(CP44:CP45))+MAX(--(CP46:CP47))+MAX(--(CP48:CP49))+MAX(--(CP51:CP52))+MAX(--(CP53:CP54))+MAX(--(CP55:CP56))+MAX(--(CP57:CP58))+MAX(--(CP59:CP60))+MAX(--(CP61:CP62))+MAX(--(CP63:CP64))+MAX(--(CP65:CP66))+MAX(--(CP67:CP68))+MAX(--(CP69:CP70))+MAX(--(CP71:CP72))+MAX(--(CP73:CP74))+MAX(--(CP75:CP76))+MAX(--(CP77:CP78))+MAX(--(CP79:CP80))+MAX(--(CP81:CP82))+MAX(--(CP83:CP84))+MAX(--(CP85:CP86))+MAX(--(CP87:CP88))+MAX(--(CP89:CP90))+MAX(--(CP91:CP92))+MAX(--(CP93:CP94))+MAX(--(CP95:CP96))+MAX(--(CP97:CP99))+MAX(--(CP100:CP101))+MAX(--(CP102:CP103))+MAX(--(CP104:CP105))+MAX(--(CP106:CP107))+MAX(--(CP112:CP113))+MAX(--(CP119:CP120))</f>
        <v>3</v>
      </c>
      <c r="CQ5" s="196" cm="1">
        <f t="array" ref="CQ5">MAX(--(CQ22:CQ25))+MAX(--(CQ26:CQ29))+MAX(--(CQ32:CQ33))+MAX(--(CQ34:CQ35))+MAX(--(CQ36:CQ37))+MAX(--(CQ38:CQ39))+MAX(--(CQ40:CQ41))+MAX(--(CQ42:CQ43))+MAX(--(CQ44:CQ45))+MAX(--(CQ46:CQ47))+MAX(--(CQ48:CQ49))+MAX(--(CQ51:CQ52))+MAX(--(CQ53:CQ54))+MAX(--(CQ55:CQ56))+MAX(--(CQ57:CQ58))+MAX(--(CQ59:CQ60))+MAX(--(CQ61:CQ62))+MAX(--(CQ63:CQ64))+MAX(--(CQ65:CQ66))+MAX(--(CQ67:CQ68))+MAX(--(CQ69:CQ70))+MAX(--(CQ71:CQ72))+MAX(--(CQ73:CQ74))+MAX(--(CQ75:CQ76))+MAX(--(CQ77:CQ78))+MAX(--(CQ79:CQ80))+MAX(--(CQ81:CQ82))+MAX(--(CQ83:CQ84))+MAX(--(CQ85:CQ86))+MAX(--(CQ87:CQ88))+MAX(--(CQ89:CQ90))+MAX(--(CQ91:CQ92))+MAX(--(CQ93:CQ94))+MAX(--(CQ95:CQ96))+MAX(--(CQ97:CQ99))+MAX(--(CQ100:CQ101))+MAX(--(CQ102:CQ103))+MAX(--(CQ104:CQ105))+MAX(--(CQ106:CQ107))+MAX(--(CQ112:CQ113))+MAX(--(CQ119:CQ120))</f>
        <v>5</v>
      </c>
      <c r="CR5" s="196" cm="1">
        <f t="array" ref="CR5">MAX(--(CR22:CR25))+MAX(--(CR26:CR29))+MAX(--(CR32:CR33))+MAX(--(CR34:CR35))+MAX(--(CR36:CR37))+MAX(--(CR38:CR39))+MAX(--(CR40:CR41))+MAX(--(CR42:CR43))+MAX(--(CR44:CR45))+MAX(--(CR46:CR47))+MAX(--(CR48:CR49))+MAX(--(CR51:CR52))+MAX(--(CR53:CR54))+MAX(--(CR55:CR56))+MAX(--(CR57:CR58))+MAX(--(CR59:CR60))+MAX(--(CR61:CR62))+MAX(--(CR63:CR64))+MAX(--(CR65:CR66))+MAX(--(CR67:CR68))+MAX(--(CR69:CR70))+MAX(--(CR71:CR72))+MAX(--(CR73:CR74))+MAX(--(CR75:CR76))+MAX(--(CR77:CR78))+MAX(--(CR79:CR80))+MAX(--(CR81:CR82))+MAX(--(CR83:CR84))+MAX(--(CR85:CR86))+MAX(--(CR87:CR88))+MAX(--(CR89:CR90))+MAX(--(CR91:CR92))+MAX(--(CR93:CR94))+MAX(--(CR95:CR96))+MAX(--(CR97:CR99))+MAX(--(CR100:CR101))+MAX(--(CR102:CR103))+MAX(--(CR104:CR105))+MAX(--(CR106:CR107))+MAX(--(CR112:CR113))+MAX(--(CR119:CR120))</f>
        <v>4</v>
      </c>
      <c r="CS5" s="196" cm="1">
        <f t="array" ref="CS5">MAX(--(CS22:CS25))+MAX(--(CS26:CS29))+MAX(--(CS32:CS33))+MAX(--(CS34:CS35))+MAX(--(CS36:CS37))+MAX(--(CS38:CS39))+MAX(--(CS40:CS41))+MAX(--(CS42:CS43))+MAX(--(CS44:CS45))+MAX(--(CS46:CS47))+MAX(--(CS48:CS49))+MAX(--(CS51:CS52))+MAX(--(CS53:CS54))+MAX(--(CS55:CS56))+MAX(--(CS57:CS58))+MAX(--(CS59:CS60))+MAX(--(CS61:CS62))+MAX(--(CS63:CS64))+MAX(--(CS65:CS66))+MAX(--(CS67:CS68))+MAX(--(CS69:CS70))+MAX(--(CS71:CS72))+MAX(--(CS73:CS74))+MAX(--(CS75:CS76))+MAX(--(CS77:CS78))+MAX(--(CS79:CS80))+MAX(--(CS81:CS82))+MAX(--(CS83:CS84))+MAX(--(CS85:CS86))+MAX(--(CS87:CS88))+MAX(--(CS89:CS90))+MAX(--(CS91:CS92))+MAX(--(CS93:CS94))+MAX(--(CS95:CS96))+MAX(--(CS97:CS99))+MAX(--(CS100:CS101))+MAX(--(CS102:CS103))+MAX(--(CS104:CS105))+MAX(--(CS106:CS107))+MAX(--(CS112:CS113))+MAX(--(CS119:CS120))</f>
        <v>1</v>
      </c>
      <c r="CT5" s="196" cm="1">
        <f t="array" ref="CT5">MAX(--(CT22:CT25))+MAX(--(CT26:CT29))+MAX(--(CT32:CT33))+MAX(--(CT34:CT35))+MAX(--(CT36:CT37))+MAX(--(CT38:CT39))+MAX(--(CT40:CT41))+MAX(--(CT42:CT43))+MAX(--(CT44:CT45))+MAX(--(CT46:CT47))+MAX(--(CT48:CT49))+MAX(--(CT51:CT52))+MAX(--(CT53:CT54))+MAX(--(CT55:CT56))+MAX(--(CT57:CT58))+MAX(--(CT59:CT60))+MAX(--(CT61:CT62))+MAX(--(CT63:CT64))+MAX(--(CT65:CT66))+MAX(--(CT67:CT68))+MAX(--(CT69:CT70))+MAX(--(CT71:CT72))+MAX(--(CT73:CT74))+MAX(--(CT75:CT76))+MAX(--(CT77:CT78))+MAX(--(CT79:CT80))+MAX(--(CT81:CT82))+MAX(--(CT83:CT84))+MAX(--(CT85:CT86))+MAX(--(CT87:CT88))+MAX(--(CT89:CT90))+MAX(--(CT91:CT92))+MAX(--(CT93:CT94))+MAX(--(CT95:CT96))+MAX(--(CT97:CT99))+MAX(--(CT100:CT101))+MAX(--(CT102:CT103))+MAX(--(CT104:CT105))+MAX(--(CT106:CT107))+MAX(--(CT112:CT113))+MAX(--(CT119:CT120))</f>
        <v>2</v>
      </c>
      <c r="CU5" s="196" cm="1">
        <f t="array" ref="CU5">MAX(--(CU22:CU25))+MAX(--(CU26:CU29))+MAX(--(CU32:CU33))+MAX(--(CU34:CU35))+MAX(--(CU36:CU37))+MAX(--(CU38:CU39))+MAX(--(CU40:CU41))+MAX(--(CU42:CU43))+MAX(--(CU44:CU45))+MAX(--(CU46:CU47))+MAX(--(CU48:CU49))+MAX(--(CU51:CU52))+MAX(--(CU53:CU54))+MAX(--(CU55:CU56))+MAX(--(CU57:CU58))+MAX(--(CU59:CU60))+MAX(--(CU61:CU62))+MAX(--(CU63:CU64))+MAX(--(CU65:CU66))+MAX(--(CU67:CU68))+MAX(--(CU69:CU70))+MAX(--(CU71:CU72))+MAX(--(CU73:CU74))+MAX(--(CU75:CU76))+MAX(--(CU77:CU78))+MAX(--(CU79:CU80))+MAX(--(CU81:CU82))+MAX(--(CU83:CU84))+MAX(--(CU85:CU86))+MAX(--(CU87:CU88))+MAX(--(CU89:CU90))+MAX(--(CU91:CU92))+MAX(--(CU93:CU94))+MAX(--(CU95:CU96))+MAX(--(CU97:CU99))+MAX(--(CU100:CU101))+MAX(--(CU102:CU103))+MAX(--(CU104:CU105))+MAX(--(CU106:CU107))+MAX(--(CU112:CU113))+MAX(--(CU119:CU120))</f>
        <v>2</v>
      </c>
      <c r="CV5" s="196" cm="1">
        <f t="array" ref="CV5">MAX(--(CV22:CV25))+MAX(--(CV26:CV29))+MAX(--(CV32:CV33))+MAX(--(CV34:CV35))+MAX(--(CV36:CV37))+MAX(--(CV38:CV39))+MAX(--(CV40:CV41))+MAX(--(CV42:CV43))+MAX(--(CV44:CV45))+MAX(--(CV46:CV47))+MAX(--(CV48:CV49))+MAX(--(CV51:CV52))+MAX(--(CV53:CV54))+MAX(--(CV55:CV56))+MAX(--(CV57:CV58))+MAX(--(CV59:CV60))+MAX(--(CV61:CV62))+MAX(--(CV63:CV64))+MAX(--(CV65:CV66))+MAX(--(CV67:CV68))+MAX(--(CV69:CV70))+MAX(--(CV71:CV72))+MAX(--(CV73:CV74))+MAX(--(CV75:CV76))+MAX(--(CV77:CV78))+MAX(--(CV79:CV80))+MAX(--(CV81:CV82))+MAX(--(CV83:CV84))+MAX(--(CV85:CV86))+MAX(--(CV87:CV88))+MAX(--(CV89:CV90))+MAX(--(CV91:CV92))+MAX(--(CV93:CV94))+MAX(--(CV95:CV96))+MAX(--(CV97:CV99))+MAX(--(CV100:CV101))+MAX(--(CV102:CV103))+MAX(--(CV104:CV105))+MAX(--(CV106:CV107))+MAX(--(CV112:CV113))+MAX(--(CV119:CV120))</f>
        <v>2</v>
      </c>
      <c r="CW5" s="196" cm="1">
        <f t="array" ref="CW5">MAX(--(CW22:CW25))+MAX(--(CW26:CW29))+MAX(--(CW32:CW33))+MAX(--(CW34:CW35))+MAX(--(CW36:CW37))+MAX(--(CW38:CW39))+MAX(--(CW40:CW41))+MAX(--(CW42:CW43))+MAX(--(CW44:CW45))+MAX(--(CW46:CW47))+MAX(--(CW48:CW49))+MAX(--(CW51:CW52))+MAX(--(CW53:CW54))+MAX(--(CW55:CW56))+MAX(--(CW57:CW58))+MAX(--(CW59:CW60))+MAX(--(CW61:CW62))+MAX(--(CW63:CW64))+MAX(--(CW65:CW66))+MAX(--(CW67:CW68))+MAX(--(CW69:CW70))+MAX(--(CW71:CW72))+MAX(--(CW73:CW74))+MAX(--(CW75:CW76))+MAX(--(CW77:CW78))+MAX(--(CW79:CW80))+MAX(--(CW81:CW82))+MAX(--(CW83:CW84))+MAX(--(CW85:CW86))+MAX(--(CW87:CW88))+MAX(--(CW89:CW90))+MAX(--(CW91:CW92))+MAX(--(CW93:CW94))+MAX(--(CW95:CW96))+MAX(--(CW97:CW99))+MAX(--(CW100:CW101))+MAX(--(CW102:CW103))+MAX(--(CW104:CW105))+MAX(--(CW106:CW107))+MAX(--(CW112:CW113))+MAX(--(CW119:CW120))</f>
        <v>2</v>
      </c>
      <c r="CX5" s="196" cm="1">
        <f t="array" ref="CX5">MAX(--(CX22:CX25))+MAX(--(CX26:CX29))+MAX(--(CX32:CX33))+MAX(--(CX34:CX35))+MAX(--(CX36:CX37))+MAX(--(CX38:CX39))+MAX(--(CX40:CX41))+MAX(--(CX42:CX43))+MAX(--(CX44:CX45))+MAX(--(CX46:CX47))+MAX(--(CX48:CX49))+MAX(--(CX51:CX52))+MAX(--(CX53:CX54))+MAX(--(CX55:CX56))+MAX(--(CX57:CX58))+MAX(--(CX59:CX60))+MAX(--(CX61:CX62))+MAX(--(CX63:CX64))+MAX(--(CX65:CX66))+MAX(--(CX67:CX68))+MAX(--(CX69:CX70))+MAX(--(CX71:CX72))+MAX(--(CX73:CX74))+MAX(--(CX75:CX76))+MAX(--(CX77:CX78))+MAX(--(CX79:CX80))+MAX(--(CX81:CX82))+MAX(--(CX83:CX84))+MAX(--(CX85:CX86))+MAX(--(CX87:CX88))+MAX(--(CX89:CX90))+MAX(--(CX91:CX92))+MAX(--(CX93:CX94))+MAX(--(CX95:CX96))+MAX(--(CX97:CX99))+MAX(--(CX100:CX101))+MAX(--(CX102:CX103))+MAX(--(CX104:CX105))+MAX(--(CX106:CX107))+MAX(--(CX112:CX113))+MAX(--(CX119:CX120))</f>
        <v>2</v>
      </c>
      <c r="CY5" s="196" cm="1">
        <f t="array" ref="CY5">MAX(--(CY22:CY25))+MAX(--(CY26:CY29))+MAX(--(CY32:CY33))+MAX(--(CY34:CY35))+MAX(--(CY36:CY37))+MAX(--(CY38:CY39))+MAX(--(CY40:CY41))+MAX(--(CY42:CY43))+MAX(--(CY44:CY45))+MAX(--(CY46:CY47))+MAX(--(CY48:CY49))+MAX(--(CY51:CY52))+MAX(--(CY53:CY54))+MAX(--(CY55:CY56))+MAX(--(CY57:CY58))+MAX(--(CY59:CY60))+MAX(--(CY61:CY62))+MAX(--(CY63:CY64))+MAX(--(CY65:CY66))+MAX(--(CY67:CY68))+MAX(--(CY69:CY70))+MAX(--(CY71:CY72))+MAX(--(CY73:CY74))+MAX(--(CY75:CY76))+MAX(--(CY77:CY78))+MAX(--(CY79:CY80))+MAX(--(CY81:CY82))+MAX(--(CY83:CY84))+MAX(--(CY85:CY86))+MAX(--(CY87:CY88))+MAX(--(CY89:CY90))+MAX(--(CY91:CY92))+MAX(--(CY93:CY94))+MAX(--(CY95:CY96))+MAX(--(CY97:CY99))+MAX(--(CY100:CY101))+MAX(--(CY102:CY103))+MAX(--(CY104:CY105))+MAX(--(CY106:CY107))+MAX(--(CY112:CY113))+MAX(--(CY119:CY120))</f>
        <v>2</v>
      </c>
      <c r="CZ5" s="196" cm="1">
        <f t="array" ref="CZ5">MAX(--(CZ22:CZ25))+MAX(--(CZ26:CZ29))+MAX(--(CZ32:CZ33))+MAX(--(CZ34:CZ35))+MAX(--(CZ36:CZ37))+MAX(--(CZ38:CZ39))+MAX(--(CZ40:CZ41))+MAX(--(CZ42:CZ43))+MAX(--(CZ44:CZ45))+MAX(--(CZ46:CZ47))+MAX(--(CZ48:CZ49))+MAX(--(CZ51:CZ52))+MAX(--(CZ53:CZ54))+MAX(--(CZ55:CZ56))+MAX(--(CZ57:CZ58))+MAX(--(CZ59:CZ60))+MAX(--(CZ61:CZ62))+MAX(--(CZ63:CZ64))+MAX(--(CZ65:CZ66))+MAX(--(CZ67:CZ68))+MAX(--(CZ69:CZ70))+MAX(--(CZ71:CZ72))+MAX(--(CZ73:CZ74))+MAX(--(CZ75:CZ76))+MAX(--(CZ77:CZ78))+MAX(--(CZ79:CZ80))+MAX(--(CZ81:CZ82))+MAX(--(CZ83:CZ84))+MAX(--(CZ85:CZ86))+MAX(--(CZ87:CZ88))+MAX(--(CZ89:CZ90))+MAX(--(CZ91:CZ92))+MAX(--(CZ93:CZ94))+MAX(--(CZ95:CZ96))+MAX(--(CZ97:CZ99))+MAX(--(CZ100:CZ101))+MAX(--(CZ102:CZ103))+MAX(--(CZ104:CZ105))+MAX(--(CZ106:CZ107))+MAX(--(CZ112:CZ113))+MAX(--(CZ119:CZ120))</f>
        <v>2</v>
      </c>
      <c r="DA5" s="196" cm="1">
        <f t="array" ref="DA5">MAX(--(DA22:DA25))+MAX(--(DA26:DA29))+MAX(--(DA32:DA33))+MAX(--(DA34:DA35))+MAX(--(DA36:DA37))+MAX(--(DA38:DA39))+MAX(--(DA40:DA41))+MAX(--(DA42:DA43))+MAX(--(DA44:DA45))+MAX(--(DA46:DA47))+MAX(--(DA48:DA49))+MAX(--(DA51:DA52))+MAX(--(DA53:DA54))+MAX(--(DA55:DA56))+MAX(--(DA57:DA58))+MAX(--(DA59:DA60))+MAX(--(DA61:DA62))+MAX(--(DA63:DA64))+MAX(--(DA65:DA66))+MAX(--(DA67:DA68))+MAX(--(DA69:DA70))+MAX(--(DA71:DA72))+MAX(--(DA73:DA74))+MAX(--(DA75:DA76))+MAX(--(DA77:DA78))+MAX(--(DA79:DA80))+MAX(--(DA81:DA82))+MAX(--(DA83:DA84))+MAX(--(DA85:DA86))+MAX(--(DA87:DA88))+MAX(--(DA89:DA90))+MAX(--(DA91:DA92))+MAX(--(DA93:DA94))+MAX(--(DA95:DA96))+MAX(--(DA97:DA99))+MAX(--(DA100:DA101))+MAX(--(DA102:DA103))+MAX(--(DA104:DA105))+MAX(--(DA106:DA107))+MAX(--(DA112:DA113))+MAX(--(DA119:DA120))</f>
        <v>3</v>
      </c>
      <c r="DB5" s="196" cm="1">
        <f t="array" ref="DB5">MAX(--(DB22:DB25))+MAX(--(DB26:DB29))+MAX(--(DB32:DB33))+MAX(--(DB34:DB35))+MAX(--(DB36:DB37))+MAX(--(DB38:DB39))+MAX(--(DB40:DB41))+MAX(--(DB42:DB43))+MAX(--(DB44:DB45))+MAX(--(DB46:DB47))+MAX(--(DB48:DB49))+MAX(--(DB51:DB52))+MAX(--(DB53:DB54))+MAX(--(DB55:DB56))+MAX(--(DB57:DB58))+MAX(--(DB59:DB60))+MAX(--(DB61:DB62))+MAX(--(DB63:DB64))+MAX(--(DB65:DB66))+MAX(--(DB67:DB68))+MAX(--(DB69:DB70))+MAX(--(DB71:DB72))+MAX(--(DB73:DB74))+MAX(--(DB75:DB76))+MAX(--(DB77:DB78))+MAX(--(DB79:DB80))+MAX(--(DB81:DB82))+MAX(--(DB83:DB84))+MAX(--(DB85:DB86))+MAX(--(DB87:DB88))+MAX(--(DB89:DB90))+MAX(--(DB91:DB92))+MAX(--(DB93:DB94))+MAX(--(DB95:DB96))+MAX(--(DB97:DB99))+MAX(--(DB100:DB101))+MAX(--(DB102:DB103))+MAX(--(DB104:DB105))+MAX(--(DB106:DB107))+MAX(--(DB112:DB113))+MAX(--(DB119:DB120))</f>
        <v>3</v>
      </c>
      <c r="DC5" s="196" cm="1">
        <f t="array" ref="DC5">MAX(--(DC22:DC25))+MAX(--(DC26:DC29))+MAX(--(DC32:DC33))+MAX(--(DC34:DC35))+MAX(--(DC36:DC37))+MAX(--(DC38:DC39))+MAX(--(DC40:DC41))+MAX(--(DC42:DC43))+MAX(--(DC44:DC45))+MAX(--(DC46:DC47))+MAX(--(DC48:DC49))+MAX(--(DC51:DC52))+MAX(--(DC53:DC54))+MAX(--(DC55:DC56))+MAX(--(DC57:DC58))+MAX(--(DC59:DC60))+MAX(--(DC61:DC62))+MAX(--(DC63:DC64))+MAX(--(DC65:DC66))+MAX(--(DC67:DC68))+MAX(--(DC69:DC70))+MAX(--(DC71:DC72))+MAX(--(DC73:DC74))+MAX(--(DC75:DC76))+MAX(--(DC77:DC78))+MAX(--(DC79:DC80))+MAX(--(DC81:DC82))+MAX(--(DC83:DC84))+MAX(--(DC85:DC86))+MAX(--(DC87:DC88))+MAX(--(DC89:DC90))+MAX(--(DC91:DC92))+MAX(--(DC93:DC94))+MAX(--(DC95:DC96))+MAX(--(DC97:DC99))+MAX(--(DC100:DC101))+MAX(--(DC102:DC103))+MAX(--(DC104:DC105))+MAX(--(DC106:DC107))+MAX(--(DC112:DC113))+MAX(--(DC119:DC120))</f>
        <v>3</v>
      </c>
      <c r="DD5" s="196" cm="1">
        <f t="array" ref="DD5">MAX(--(DD22:DD25))+MAX(--(DD26:DD29))+MAX(--(DD32:DD33))+MAX(--(DD34:DD35))+MAX(--(DD36:DD37))+MAX(--(DD38:DD39))+MAX(--(DD40:DD41))+MAX(--(DD42:DD43))+MAX(--(DD44:DD45))+MAX(--(DD46:DD47))+MAX(--(DD48:DD49))+MAX(--(DD51:DD52))+MAX(--(DD53:DD54))+MAX(--(DD55:DD56))+MAX(--(DD57:DD58))+MAX(--(DD59:DD60))+MAX(--(DD61:DD62))+MAX(--(DD63:DD64))+MAX(--(DD65:DD66))+MAX(--(DD67:DD68))+MAX(--(DD69:DD70))+MAX(--(DD71:DD72))+MAX(--(DD73:DD74))+MAX(--(DD75:DD76))+MAX(--(DD77:DD78))+MAX(--(DD79:DD80))+MAX(--(DD81:DD82))+MAX(--(DD83:DD84))+MAX(--(DD85:DD86))+MAX(--(DD87:DD88))+MAX(--(DD89:DD90))+MAX(--(DD91:DD92))+MAX(--(DD93:DD94))+MAX(--(DD95:DD96))+MAX(--(DD97:DD99))+MAX(--(DD100:DD101))+MAX(--(DD102:DD103))+MAX(--(DD104:DD105))+MAX(--(DD106:DD107))+MAX(--(DD112:DD113))+MAX(--(DD119:DD120))</f>
        <v>3</v>
      </c>
      <c r="DE5" s="196" cm="1">
        <f t="array" ref="DE5">MAX(--(DE22:DE25))+MAX(--(DE26:DE29))+MAX(--(DE32:DE33))+MAX(--(DE34:DE35))+MAX(--(DE36:DE37))+MAX(--(DE38:DE39))+MAX(--(DE40:DE41))+MAX(--(DE42:DE43))+MAX(--(DE44:DE45))+MAX(--(DE46:DE47))+MAX(--(DE48:DE49))+MAX(--(DE51:DE52))+MAX(--(DE53:DE54))+MAX(--(DE55:DE56))+MAX(--(DE57:DE58))+MAX(--(DE59:DE60))+MAX(--(DE61:DE62))+MAX(--(DE63:DE64))+MAX(--(DE65:DE66))+MAX(--(DE67:DE68))+MAX(--(DE69:DE70))+MAX(--(DE71:DE72))+MAX(--(DE73:DE74))+MAX(--(DE75:DE76))+MAX(--(DE77:DE78))+MAX(--(DE79:DE80))+MAX(--(DE81:DE82))+MAX(--(DE83:DE84))+MAX(--(DE85:DE86))+MAX(--(DE87:DE88))+MAX(--(DE89:DE90))+MAX(--(DE91:DE92))+MAX(--(DE93:DE94))+MAX(--(DE95:DE96))+MAX(--(DE97:DE99))+MAX(--(DE100:DE101))+MAX(--(DE102:DE103))+MAX(--(DE104:DE105))+MAX(--(DE106:DE107))+MAX(--(DE112:DE113))+MAX(--(DE119:DE120))</f>
        <v>3</v>
      </c>
      <c r="DF5" s="196" cm="1">
        <f t="array" ref="DF5">MAX(--(DF22:DF25))+MAX(--(DF26:DF29))+MAX(--(DF32:DF33))+MAX(--(DF34:DF35))+MAX(--(DF36:DF37))+MAX(--(DF38:DF39))+MAX(--(DF40:DF41))+MAX(--(DF42:DF43))+MAX(--(DF44:DF45))+MAX(--(DF46:DF47))+MAX(--(DF48:DF49))+MAX(--(DF51:DF52))+MAX(--(DF53:DF54))+MAX(--(DF55:DF56))+MAX(--(DF57:DF58))+MAX(--(DF59:DF60))+MAX(--(DF61:DF62))+MAX(--(DF63:DF64))+MAX(--(DF65:DF66))+MAX(--(DF67:DF68))+MAX(--(DF69:DF70))+MAX(--(DF71:DF72))+MAX(--(DF73:DF74))+MAX(--(DF75:DF76))+MAX(--(DF77:DF78))+MAX(--(DF79:DF80))+MAX(--(DF81:DF82))+MAX(--(DF83:DF84))+MAX(--(DF85:DF86))+MAX(--(DF87:DF88))+MAX(--(DF89:DF90))+MAX(--(DF91:DF92))+MAX(--(DF93:DF94))+MAX(--(DF95:DF96))+MAX(--(DF97:DF99))+MAX(--(DF100:DF101))+MAX(--(DF102:DF103))+MAX(--(DF104:DF105))+MAX(--(DF106:DF107))+MAX(--(DF112:DF113))+MAX(--(DF119:DF120))</f>
        <v>3</v>
      </c>
      <c r="DG5" s="196" cm="1">
        <f t="array" ref="DG5">MAX(--(DG22:DG25))+MAX(--(DG26:DG29))+MAX(--(DG32:DG33))+MAX(--(DG34:DG35))+MAX(--(DG36:DG37))+MAX(--(DG38:DG39))+MAX(--(DG40:DG41))+MAX(--(DG42:DG43))+MAX(--(DG44:DG45))+MAX(--(DG46:DG47))+MAX(--(DG48:DG49))+MAX(--(DG51:DG52))+MAX(--(DG53:DG54))+MAX(--(DG55:DG56))+MAX(--(DG57:DG58))+MAX(--(DG59:DG60))+MAX(--(DG61:DG62))+MAX(--(DG63:DG64))+MAX(--(DG65:DG66))+MAX(--(DG67:DG68))+MAX(--(DG69:DG70))+MAX(--(DG71:DG72))+MAX(--(DG73:DG74))+MAX(--(DG75:DG76))+MAX(--(DG77:DG78))+MAX(--(DG79:DG80))+MAX(--(DG81:DG82))+MAX(--(DG83:DG84))+MAX(--(DG85:DG86))+MAX(--(DG87:DG88))+MAX(--(DG89:DG90))+MAX(--(DG91:DG92))+MAX(--(DG93:DG94))+MAX(--(DG95:DG96))+MAX(--(DG97:DG99))+MAX(--(DG100:DG101))+MAX(--(DG102:DG103))+MAX(--(DG104:DG105))+MAX(--(DG106:DG107))+MAX(--(DG112:DG113))+MAX(--(DG119:DG120))</f>
        <v>2</v>
      </c>
      <c r="DH5" s="196" cm="1">
        <f t="array" ref="DH5">MAX(--(DH22:DH25))+MAX(--(DH26:DH29))+MAX(--(DH32:DH33))+MAX(--(DH34:DH35))+MAX(--(DH36:DH37))+MAX(--(DH38:DH39))+MAX(--(DH40:DH41))+MAX(--(DH42:DH43))+MAX(--(DH44:DH45))+MAX(--(DH46:DH47))+MAX(--(DH48:DH49))+MAX(--(DH51:DH52))+MAX(--(DH53:DH54))+MAX(--(DH55:DH56))+MAX(--(DH57:DH58))+MAX(--(DH59:DH60))+MAX(--(DH61:DH62))+MAX(--(DH63:DH64))+MAX(--(DH65:DH66))+MAX(--(DH67:DH68))+MAX(--(DH69:DH70))+MAX(--(DH71:DH72))+MAX(--(DH73:DH74))+MAX(--(DH75:DH76))+MAX(--(DH77:DH78))+MAX(--(DH79:DH80))+MAX(--(DH81:DH82))+MAX(--(DH83:DH84))+MAX(--(DH85:DH86))+MAX(--(DH87:DH88))+MAX(--(DH89:DH90))+MAX(--(DH91:DH92))+MAX(--(DH93:DH94))+MAX(--(DH95:DH96))+MAX(--(DH97:DH99))+MAX(--(DH100:DH101))+MAX(--(DH102:DH103))+MAX(--(DH104:DH105))+MAX(--(DH106:DH107))+MAX(--(DH112:DH113))+MAX(--(DH119:DH120))</f>
        <v>1</v>
      </c>
      <c r="DI5" s="196" cm="1">
        <f t="array" ref="DI5">MAX(--(DI22:DI25))+MAX(--(DI26:DI29))+MAX(--(DI32:DI33))+MAX(--(DI34:DI35))+MAX(--(DI36:DI37))+MAX(--(DI38:DI39))+MAX(--(DI40:DI41))+MAX(--(DI42:DI43))+MAX(--(DI44:DI45))+MAX(--(DI46:DI47))+MAX(--(DI48:DI49))+MAX(--(DI51:DI52))+MAX(--(DI53:DI54))+MAX(--(DI55:DI56))+MAX(--(DI57:DI58))+MAX(--(DI59:DI60))+MAX(--(DI61:DI62))+MAX(--(DI63:DI64))+MAX(--(DI65:DI66))+MAX(--(DI67:DI68))+MAX(--(DI69:DI70))+MAX(--(DI71:DI72))+MAX(--(DI73:DI74))+MAX(--(DI75:DI76))+MAX(--(DI77:DI78))+MAX(--(DI79:DI80))+MAX(--(DI81:DI82))+MAX(--(DI83:DI84))+MAX(--(DI85:DI86))+MAX(--(DI87:DI88))+MAX(--(DI89:DI90))+MAX(--(DI91:DI92))+MAX(--(DI93:DI94))+MAX(--(DI95:DI96))+MAX(--(DI97:DI99))+MAX(--(DI100:DI101))+MAX(--(DI102:DI103))+MAX(--(DI104:DI105))+MAX(--(DI106:DI107))+MAX(--(DI112:DI113))+MAX(--(DI119:DI120))</f>
        <v>1</v>
      </c>
      <c r="DJ5" s="196" cm="1">
        <f t="array" ref="DJ5">MAX(--(DJ22:DJ25))+MAX(--(DJ26:DJ29))+MAX(--(DJ32:DJ33))+MAX(--(DJ34:DJ35))+MAX(--(DJ36:DJ37))+MAX(--(DJ38:DJ39))+MAX(--(DJ40:DJ41))+MAX(--(DJ42:DJ43))+MAX(--(DJ44:DJ45))+MAX(--(DJ46:DJ47))+MAX(--(DJ48:DJ49))+MAX(--(DJ51:DJ52))+MAX(--(DJ53:DJ54))+MAX(--(DJ55:DJ56))+MAX(--(DJ57:DJ58))+MAX(--(DJ59:DJ60))+MAX(--(DJ61:DJ62))+MAX(--(DJ63:DJ64))+MAX(--(DJ65:DJ66))+MAX(--(DJ67:DJ68))+MAX(--(DJ69:DJ70))+MAX(--(DJ71:DJ72))+MAX(--(DJ73:DJ74))+MAX(--(DJ75:DJ76))+MAX(--(DJ77:DJ78))+MAX(--(DJ79:DJ80))+MAX(--(DJ81:DJ82))+MAX(--(DJ83:DJ84))+MAX(--(DJ85:DJ86))+MAX(--(DJ87:DJ88))+MAX(--(DJ89:DJ90))+MAX(--(DJ91:DJ92))+MAX(--(DJ93:DJ94))+MAX(--(DJ95:DJ96))+MAX(--(DJ97:DJ99))+MAX(--(DJ100:DJ101))+MAX(--(DJ102:DJ103))+MAX(--(DJ104:DJ105))+MAX(--(DJ106:DJ107))+MAX(--(DJ112:DJ113))+MAX(--(DJ119:DJ120))</f>
        <v>4</v>
      </c>
      <c r="DK5" s="196" cm="1">
        <f t="array" ref="DK5">MAX(--(DK22:DK25))+MAX(--(DK26:DK29))+MAX(--(DK32:DK33))+MAX(--(DK34:DK35))+MAX(--(DK36:DK37))+MAX(--(DK38:DK39))+MAX(--(DK40:DK41))+MAX(--(DK42:DK43))+MAX(--(DK44:DK45))+MAX(--(DK46:DK47))+MAX(--(DK48:DK49))+MAX(--(DK51:DK52))+MAX(--(DK53:DK54))+MAX(--(DK55:DK56))+MAX(--(DK57:DK58))+MAX(--(DK59:DK60))+MAX(--(DK61:DK62))+MAX(--(DK63:DK64))+MAX(--(DK65:DK66))+MAX(--(DK67:DK68))+MAX(--(DK69:DK70))+MAX(--(DK71:DK72))+MAX(--(DK73:DK74))+MAX(--(DK75:DK76))+MAX(--(DK77:DK78))+MAX(--(DK79:DK80))+MAX(--(DK81:DK82))+MAX(--(DK83:DK84))+MAX(--(DK85:DK86))+MAX(--(DK87:DK88))+MAX(--(DK89:DK90))+MAX(--(DK91:DK92))+MAX(--(DK93:DK94))+MAX(--(DK95:DK96))+MAX(--(DK97:DK99))+MAX(--(DK100:DK101))+MAX(--(DK102:DK103))+MAX(--(DK104:DK105))+MAX(--(DK106:DK107))+MAX(--(DK112:DK113))+MAX(--(DK119:DK120))</f>
        <v>4</v>
      </c>
      <c r="DL5" s="196" cm="1">
        <f t="array" ref="DL5">MAX(--(DL22:DL25))+MAX(--(DL26:DL29))+MAX(--(DL32:DL33))+MAX(--(DL34:DL35))+MAX(--(DL36:DL37))+MAX(--(DL38:DL39))+MAX(--(DL40:DL41))+MAX(--(DL42:DL43))+MAX(--(DL44:DL45))+MAX(--(DL46:DL47))+MAX(--(DL48:DL49))+MAX(--(DL51:DL52))+MAX(--(DL53:DL54))+MAX(--(DL55:DL56))+MAX(--(DL57:DL58))+MAX(--(DL59:DL60))+MAX(--(DL61:DL62))+MAX(--(DL63:DL64))+MAX(--(DL65:DL66))+MAX(--(DL67:DL68))+MAX(--(DL69:DL70))+MAX(--(DL71:DL72))+MAX(--(DL73:DL74))+MAX(--(DL75:DL76))+MAX(--(DL77:DL78))+MAX(--(DL79:DL80))+MAX(--(DL81:DL82))+MAX(--(DL83:DL84))+MAX(--(DL85:DL86))+MAX(--(DL87:DL88))+MAX(--(DL89:DL90))+MAX(--(DL91:DL92))+MAX(--(DL93:DL94))+MAX(--(DL95:DL96))+MAX(--(DL97:DL99))+MAX(--(DL100:DL101))+MAX(--(DL102:DL103))+MAX(--(DL104:DL105))+MAX(--(DL106:DL107))+MAX(--(DL112:DL113))+MAX(--(DL119:DL120))</f>
        <v>4</v>
      </c>
      <c r="DM5" s="196" cm="1">
        <f t="array" ref="DM5">MAX(--(DM22:DM25))+MAX(--(DM26:DM29))+MAX(--(DM32:DM33))+MAX(--(DM34:DM35))+MAX(--(DM36:DM37))+MAX(--(DM38:DM39))+MAX(--(DM40:DM41))+MAX(--(DM42:DM43))+MAX(--(DM44:DM45))+MAX(--(DM46:DM47))+MAX(--(DM48:DM49))+MAX(--(DM51:DM52))+MAX(--(DM53:DM54))+MAX(--(DM55:DM56))+MAX(--(DM57:DM58))+MAX(--(DM59:DM60))+MAX(--(DM61:DM62))+MAX(--(DM63:DM64))+MAX(--(DM65:DM66))+MAX(--(DM67:DM68))+MAX(--(DM69:DM70))+MAX(--(DM71:DM72))+MAX(--(DM73:DM74))+MAX(--(DM75:DM76))+MAX(--(DM77:DM78))+MAX(--(DM79:DM80))+MAX(--(DM81:DM82))+MAX(--(DM83:DM84))+MAX(--(DM85:DM86))+MAX(--(DM87:DM88))+MAX(--(DM89:DM90))+MAX(--(DM91:DM92))+MAX(--(DM93:DM94))+MAX(--(DM95:DM96))+MAX(--(DM97:DM99))+MAX(--(DM100:DM101))+MAX(--(DM102:DM103))+MAX(--(DM104:DM105))+MAX(--(DM106:DM107))+MAX(--(DM112:DM113))+MAX(--(DM119:DM120))</f>
        <v>1</v>
      </c>
      <c r="DN5" s="196" cm="1">
        <f t="array" ref="DN5">MAX(--(DN22:DN25))+MAX(--(DN26:DN29))+MAX(--(DN32:DN33))+MAX(--(DN34:DN35))+MAX(--(DN36:DN37))+MAX(--(DN38:DN39))+MAX(--(DN40:DN41))+MAX(--(DN42:DN43))+MAX(--(DN44:DN45))+MAX(--(DN46:DN47))+MAX(--(DN48:DN49))+MAX(--(DN51:DN52))+MAX(--(DN53:DN54))+MAX(--(DN55:DN56))+MAX(--(DN57:DN58))+MAX(--(DN59:DN60))+MAX(--(DN61:DN62))+MAX(--(DN63:DN64))+MAX(--(DN65:DN66))+MAX(--(DN67:DN68))+MAX(--(DN69:DN70))+MAX(--(DN71:DN72))+MAX(--(DN73:DN74))+MAX(--(DN75:DN76))+MAX(--(DN77:DN78))+MAX(--(DN79:DN80))+MAX(--(DN81:DN82))+MAX(--(DN83:DN84))+MAX(--(DN85:DN86))+MAX(--(DN87:DN88))+MAX(--(DN89:DN90))+MAX(--(DN91:DN92))+MAX(--(DN93:DN94))+MAX(--(DN95:DN96))+MAX(--(DN97:DN99))+MAX(--(DN100:DN101))+MAX(--(DN102:DN103))+MAX(--(DN104:DN105))+MAX(--(DN106:DN107))+MAX(--(DN112:DN113))+MAX(--(DN119:DN120))</f>
        <v>4</v>
      </c>
      <c r="DO5" s="196" cm="1">
        <f t="array" ref="DO5">MAX(--(DO22:DO25))+MAX(--(DO26:DO29))+MAX(--(DO32:DO33))+MAX(--(DO34:DO35))+MAX(--(DO36:DO37))+MAX(--(DO38:DO39))+MAX(--(DO40:DO41))+MAX(--(DO42:DO43))+MAX(--(DO44:DO45))+MAX(--(DO46:DO47))+MAX(--(DO48:DO49))+MAX(--(DO51:DO52))+MAX(--(DO53:DO54))+MAX(--(DO55:DO56))+MAX(--(DO57:DO58))+MAX(--(DO59:DO60))+MAX(--(DO61:DO62))+MAX(--(DO63:DO64))+MAX(--(DO65:DO66))+MAX(--(DO67:DO68))+MAX(--(DO69:DO70))+MAX(--(DO71:DO72))+MAX(--(DO73:DO74))+MAX(--(DO75:DO76))+MAX(--(DO77:DO78))+MAX(--(DO79:DO80))+MAX(--(DO81:DO82))+MAX(--(DO83:DO84))+MAX(--(DO85:DO86))+MAX(--(DO87:DO88))+MAX(--(DO89:DO90))+MAX(--(DO91:DO92))+MAX(--(DO93:DO94))+MAX(--(DO95:DO96))+MAX(--(DO97:DO99))+MAX(--(DO100:DO101))+MAX(--(DO102:DO103))+MAX(--(DO104:DO105))+MAX(--(DO106:DO107))+MAX(--(DO112:DO113))+MAX(--(DO119:DO120))</f>
        <v>4</v>
      </c>
      <c r="DP5" s="196" cm="1">
        <f t="array" ref="DP5">MAX(--(DP22:DP25))+MAX(--(DP26:DP29))+MAX(--(DP32:DP33))+MAX(--(DP34:DP35))+MAX(--(DP36:DP37))+MAX(--(DP38:DP39))+MAX(--(DP40:DP41))+MAX(--(DP42:DP43))+MAX(--(DP44:DP45))+MAX(--(DP46:DP47))+MAX(--(DP48:DP49))+MAX(--(DP51:DP52))+MAX(--(DP53:DP54))+MAX(--(DP55:DP56))+MAX(--(DP57:DP58))+MAX(--(DP59:DP60))+MAX(--(DP61:DP62))+MAX(--(DP63:DP64))+MAX(--(DP65:DP66))+MAX(--(DP67:DP68))+MAX(--(DP69:DP70))+MAX(--(DP71:DP72))+MAX(--(DP73:DP74))+MAX(--(DP75:DP76))+MAX(--(DP77:DP78))+MAX(--(DP79:DP80))+MAX(--(DP81:DP82))+MAX(--(DP83:DP84))+MAX(--(DP85:DP86))+MAX(--(DP87:DP88))+MAX(--(DP89:DP90))+MAX(--(DP91:DP92))+MAX(--(DP93:DP94))+MAX(--(DP95:DP96))+MAX(--(DP97:DP99))+MAX(--(DP100:DP101))+MAX(--(DP102:DP103))+MAX(--(DP104:DP105))+MAX(--(DP106:DP107))+MAX(--(DP112:DP113))+MAX(--(DP119:DP120))</f>
        <v>4</v>
      </c>
      <c r="DQ5" s="196" cm="1">
        <f t="array" ref="DQ5">MAX(--(DQ22:DQ25))+MAX(--(DQ26:DQ29))+MAX(--(DQ32:DQ33))+MAX(--(DQ34:DQ35))+MAX(--(DQ36:DQ37))+MAX(--(DQ38:DQ39))+MAX(--(DQ40:DQ41))+MAX(--(DQ42:DQ43))+MAX(--(DQ44:DQ45))+MAX(--(DQ46:DQ47))+MAX(--(DQ48:DQ49))+MAX(--(DQ51:DQ52))+MAX(--(DQ53:DQ54))+MAX(--(DQ55:DQ56))+MAX(--(DQ57:DQ58))+MAX(--(DQ59:DQ60))+MAX(--(DQ61:DQ62))+MAX(--(DQ63:DQ64))+MAX(--(DQ65:DQ66))+MAX(--(DQ67:DQ68))+MAX(--(DQ69:DQ70))+MAX(--(DQ71:DQ72))+MAX(--(DQ73:DQ74))+MAX(--(DQ75:DQ76))+MAX(--(DQ77:DQ78))+MAX(--(DQ79:DQ80))+MAX(--(DQ81:DQ82))+MAX(--(DQ83:DQ84))+MAX(--(DQ85:DQ86))+MAX(--(DQ87:DQ88))+MAX(--(DQ89:DQ90))+MAX(--(DQ91:DQ92))+MAX(--(DQ93:DQ94))+MAX(--(DQ95:DQ96))+MAX(--(DQ97:DQ99))+MAX(--(DQ100:DQ101))+MAX(--(DQ102:DQ103))+MAX(--(DQ104:DQ105))+MAX(--(DQ106:DQ107))+MAX(--(DQ112:DQ113))+MAX(--(DQ119:DQ120))</f>
        <v>0</v>
      </c>
      <c r="DR5" s="196" cm="1">
        <f t="array" ref="DR5">MAX(--(DR22:DR25))+MAX(--(DR26:DR29))+MAX(--(DR32:DR33))+MAX(--(DR34:DR35))+MAX(--(DR36:DR37))+MAX(--(DR38:DR39))+MAX(--(DR40:DR41))+MAX(--(DR42:DR43))+MAX(--(DR44:DR45))+MAX(--(DR46:DR47))+MAX(--(DR48:DR49))+MAX(--(DR51:DR52))+MAX(--(DR53:DR54))+MAX(--(DR55:DR56))+MAX(--(DR57:DR58))+MAX(--(DR59:DR60))+MAX(--(DR61:DR62))+MAX(--(DR63:DR64))+MAX(--(DR65:DR66))+MAX(--(DR67:DR68))+MAX(--(DR69:DR70))+MAX(--(DR71:DR72))+MAX(--(DR73:DR74))+MAX(--(DR75:DR76))+MAX(--(DR77:DR78))+MAX(--(DR79:DR80))+MAX(--(DR81:DR82))+MAX(--(DR83:DR84))+MAX(--(DR85:DR86))+MAX(--(DR87:DR88))+MAX(--(DR89:DR90))+MAX(--(DR91:DR92))+MAX(--(DR93:DR94))+MAX(--(DR95:DR96))+MAX(--(DR97:DR99))+MAX(--(DR100:DR101))+MAX(--(DR102:DR103))+MAX(--(DR104:DR105))+MAX(--(DR106:DR107))+MAX(--(DR112:DR113))+MAX(--(DR119:DR120))</f>
        <v>3</v>
      </c>
      <c r="DS5" s="196" cm="1">
        <f t="array" ref="DS5">MAX(--(DS22:DS25))+MAX(--(DS26:DS29))+MAX(--(DS32:DS33))+MAX(--(DS34:DS35))+MAX(--(DS36:DS37))+MAX(--(DS38:DS39))+MAX(--(DS40:DS41))+MAX(--(DS42:DS43))+MAX(--(DS44:DS45))+MAX(--(DS46:DS47))+MAX(--(DS48:DS49))+MAX(--(DS51:DS52))+MAX(--(DS53:DS54))+MAX(--(DS55:DS56))+MAX(--(DS57:DS58))+MAX(--(DS59:DS60))+MAX(--(DS61:DS62))+MAX(--(DS63:DS64))+MAX(--(DS65:DS66))+MAX(--(DS67:DS68))+MAX(--(DS69:DS70))+MAX(--(DS71:DS72))+MAX(--(DS73:DS74))+MAX(--(DS75:DS76))+MAX(--(DS77:DS78))+MAX(--(DS79:DS80))+MAX(--(DS81:DS82))+MAX(--(DS83:DS84))+MAX(--(DS85:DS86))+MAX(--(DS87:DS88))+MAX(--(DS89:DS90))+MAX(--(DS91:DS92))+MAX(--(DS93:DS94))+MAX(--(DS95:DS96))+MAX(--(DS97:DS99))+MAX(--(DS100:DS101))+MAX(--(DS102:DS103))+MAX(--(DS104:DS105))+MAX(--(DS106:DS107))+MAX(--(DS112:DS113))+MAX(--(DS119:DS120))</f>
        <v>3</v>
      </c>
      <c r="DT5" s="196" cm="1">
        <f t="array" ref="DT5">MAX(--(DT22:DT25))+MAX(--(DT26:DT29))+MAX(--(DT32:DT33))+MAX(--(DT34:DT35))+MAX(--(DT36:DT37))+MAX(--(DT38:DT39))+MAX(--(DT40:DT41))+MAX(--(DT42:DT43))+MAX(--(DT44:DT45))+MAX(--(DT46:DT47))+MAX(--(DT48:DT49))+MAX(--(DT51:DT52))+MAX(--(DT53:DT54))+MAX(--(DT55:DT56))+MAX(--(DT57:DT58))+MAX(--(DT59:DT60))+MAX(--(DT61:DT62))+MAX(--(DT63:DT64))+MAX(--(DT65:DT66))+MAX(--(DT67:DT68))+MAX(--(DT69:DT70))+MAX(--(DT71:DT72))+MAX(--(DT73:DT74))+MAX(--(DT75:DT76))+MAX(--(DT77:DT78))+MAX(--(DT79:DT80))+MAX(--(DT81:DT82))+MAX(--(DT83:DT84))+MAX(--(DT85:DT86))+MAX(--(DT87:DT88))+MAX(--(DT89:DT90))+MAX(--(DT91:DT92))+MAX(--(DT93:DT94))+MAX(--(DT95:DT96))+MAX(--(DT97:DT99))+MAX(--(DT100:DT101))+MAX(--(DT102:DT103))+MAX(--(DT104:DT105))+MAX(--(DT106:DT107))+MAX(--(DT112:DT113))+MAX(--(DT119:DT120))</f>
        <v>3</v>
      </c>
      <c r="DU5" s="196" cm="1">
        <f t="array" ref="DU5">MAX(--(DU22:DU25))+MAX(--(DU26:DU29))+MAX(--(DU32:DU33))+MAX(--(DU34:DU35))+MAX(--(DU36:DU37))+MAX(--(DU38:DU39))+MAX(--(DU40:DU41))+MAX(--(DU42:DU43))+MAX(--(DU44:DU45))+MAX(--(DU46:DU47))+MAX(--(DU48:DU49))+MAX(--(DU51:DU52))+MAX(--(DU53:DU54))+MAX(--(DU55:DU56))+MAX(--(DU57:DU58))+MAX(--(DU59:DU60))+MAX(--(DU61:DU62))+MAX(--(DU63:DU64))+MAX(--(DU65:DU66))+MAX(--(DU67:DU68))+MAX(--(DU69:DU70))+MAX(--(DU71:DU72))+MAX(--(DU73:DU74))+MAX(--(DU75:DU76))+MAX(--(DU77:DU78))+MAX(--(DU79:DU80))+MAX(--(DU81:DU82))+MAX(--(DU83:DU84))+MAX(--(DU85:DU86))+MAX(--(DU87:DU88))+MAX(--(DU89:DU90))+MAX(--(DU91:DU92))+MAX(--(DU93:DU94))+MAX(--(DU95:DU96))+MAX(--(DU97:DU99))+MAX(--(DU100:DU101))+MAX(--(DU102:DU103))+MAX(--(DU104:DU105))+MAX(--(DU106:DU107))+MAX(--(DU112:DU113))+MAX(--(DU119:DU120))</f>
        <v>3</v>
      </c>
      <c r="DV5" s="196" cm="1">
        <f t="array" ref="DV5">MAX(--(DV22:DV25))+MAX(--(DV26:DV29))+MAX(--(DV32:DV33))+MAX(--(DV34:DV35))+MAX(--(DV36:DV37))+MAX(--(DV38:DV39))+MAX(--(DV40:DV41))+MAX(--(DV42:DV43))+MAX(--(DV44:DV45))+MAX(--(DV46:DV47))+MAX(--(DV48:DV49))+MAX(--(DV51:DV52))+MAX(--(DV53:DV54))+MAX(--(DV55:DV56))+MAX(--(DV57:DV58))+MAX(--(DV59:DV60))+MAX(--(DV61:DV62))+MAX(--(DV63:DV64))+MAX(--(DV65:DV66))+MAX(--(DV67:DV68))+MAX(--(DV69:DV70))+MAX(--(DV71:DV72))+MAX(--(DV73:DV74))+MAX(--(DV75:DV76))+MAX(--(DV77:DV78))+MAX(--(DV79:DV80))+MAX(--(DV81:DV82))+MAX(--(DV83:DV84))+MAX(--(DV85:DV86))+MAX(--(DV87:DV88))+MAX(--(DV89:DV90))+MAX(--(DV91:DV92))+MAX(--(DV93:DV94))+MAX(--(DV95:DV96))+MAX(--(DV97:DV99))+MAX(--(DV100:DV101))+MAX(--(DV102:DV103))+MAX(--(DV104:DV105))+MAX(--(DV106:DV107))+MAX(--(DV112:DV113))+MAX(--(DV119:DV120))</f>
        <v>3</v>
      </c>
      <c r="DW5" s="196" cm="1">
        <f t="array" ref="DW5">MAX(--(DW22:DW25))+MAX(--(DW26:DW29))+MAX(--(DW32:DW33))+MAX(--(DW34:DW35))+MAX(--(DW36:DW37))+MAX(--(DW38:DW39))+MAX(--(DW40:DW41))+MAX(--(DW42:DW43))+MAX(--(DW44:DW45))+MAX(--(DW46:DW47))+MAX(--(DW48:DW49))+MAX(--(DW51:DW52))+MAX(--(DW53:DW54))+MAX(--(DW55:DW56))+MAX(--(DW57:DW58))+MAX(--(DW59:DW60))+MAX(--(DW61:DW62))+MAX(--(DW63:DW64))+MAX(--(DW65:DW66))+MAX(--(DW67:DW68))+MAX(--(DW69:DW70))+MAX(--(DW71:DW72))+MAX(--(DW73:DW74))+MAX(--(DW75:DW76))+MAX(--(DW77:DW78))+MAX(--(DW79:DW80))+MAX(--(DW81:DW82))+MAX(--(DW83:DW84))+MAX(--(DW85:DW86))+MAX(--(DW87:DW88))+MAX(--(DW89:DW90))+MAX(--(DW91:DW92))+MAX(--(DW93:DW94))+MAX(--(DW95:DW96))+MAX(--(DW97:DW99))+MAX(--(DW100:DW101))+MAX(--(DW102:DW103))+MAX(--(DW104:DW105))+MAX(--(DW106:DW107))+MAX(--(DW112:DW113))+MAX(--(DW119:DW120))</f>
        <v>3</v>
      </c>
      <c r="DX5" s="196" cm="1">
        <f t="array" ref="DX5">MAX(--(DX22:DX25))+MAX(--(DX26:DX29))+MAX(--(DX32:DX33))+MAX(--(DX34:DX35))+MAX(--(DX36:DX37))+MAX(--(DX38:DX39))+MAX(--(DX40:DX41))+MAX(--(DX42:DX43))+MAX(--(DX44:DX45))+MAX(--(DX46:DX47))+MAX(--(DX48:DX49))+MAX(--(DX51:DX52))+MAX(--(DX53:DX54))+MAX(--(DX55:DX56))+MAX(--(DX57:DX58))+MAX(--(DX59:DX60))+MAX(--(DX61:DX62))+MAX(--(DX63:DX64))+MAX(--(DX65:DX66))+MAX(--(DX67:DX68))+MAX(--(DX69:DX70))+MAX(--(DX71:DX72))+MAX(--(DX73:DX74))+MAX(--(DX75:DX76))+MAX(--(DX77:DX78))+MAX(--(DX79:DX80))+MAX(--(DX81:DX82))+MAX(--(DX83:DX84))+MAX(--(DX85:DX86))+MAX(--(DX87:DX88))+MAX(--(DX89:DX90))+MAX(--(DX91:DX92))+MAX(--(DX93:DX94))+MAX(--(DX95:DX96))+MAX(--(DX97:DX99))+MAX(--(DX100:DX101))+MAX(--(DX102:DX103))+MAX(--(DX104:DX105))+MAX(--(DX106:DX107))+MAX(--(DX112:DX113))+MAX(--(DX119:DX120))</f>
        <v>3</v>
      </c>
      <c r="DZ5" s="12"/>
      <c r="EA5" s="12"/>
      <c r="EB5" s="335"/>
      <c r="EC5">
        <v>4</v>
      </c>
      <c r="ED5" t="s">
        <v>295</v>
      </c>
      <c r="EE5" t="b" cm="1">
        <f t="array" ref="EE5">IF(SUMPRODUCT(--($EC5=$X$2:$DX$2),--($X$9:$DX$9))&gt;=1,TRUE,FALSE)</f>
        <v>0</v>
      </c>
      <c r="EF5" s="29" t="str">
        <f>'CycleRAP Model'!K6</f>
        <v>Image reference</v>
      </c>
      <c r="EG5" t="str">
        <f>'CycleRAP Model'!O6</f>
        <v>F004560</v>
      </c>
      <c r="EH5" s="335"/>
      <c r="EI5">
        <v>4</v>
      </c>
      <c r="EJ5" t="s">
        <v>295</v>
      </c>
      <c r="EK5" t="b">
        <f t="shared" si="5"/>
        <v>0</v>
      </c>
      <c r="EL5" t="str">
        <f t="shared" ca="1" si="0"/>
        <v>Gabriel G</v>
      </c>
      <c r="EM5">
        <f t="shared" ca="1" si="0"/>
        <v>45076</v>
      </c>
      <c r="EN5">
        <f t="shared" ca="1" si="0"/>
        <v>45076</v>
      </c>
      <c r="EO5" t="str">
        <f t="shared" ca="1" si="0"/>
        <v>F004560</v>
      </c>
      <c r="EP5" t="str">
        <f t="shared" ca="1" si="0"/>
        <v>Carrera 30</v>
      </c>
      <c r="EQ5">
        <f t="shared" ca="1" si="0"/>
        <v>4560</v>
      </c>
      <c r="ER5">
        <f t="shared" ca="1" si="0"/>
        <v>0.01</v>
      </c>
      <c r="ES5">
        <f t="shared" ca="1" si="0"/>
        <v>4.6501536000000003</v>
      </c>
      <c r="ET5">
        <f t="shared" ca="1" si="0"/>
        <v>-74.078029700000002</v>
      </c>
      <c r="EU5">
        <f t="shared" ca="1" si="0"/>
        <v>4.6502423000000004</v>
      </c>
      <c r="EV5">
        <f t="shared" ca="1" si="0"/>
        <v>-74.078021500000006</v>
      </c>
      <c r="EW5" t="e">
        <f t="shared" ca="1" si="0"/>
        <v>#REF!</v>
      </c>
      <c r="EX5">
        <f t="shared" ca="1" si="1"/>
        <v>2</v>
      </c>
      <c r="EY5">
        <f t="shared" ca="1" si="1"/>
        <v>3</v>
      </c>
      <c r="EZ5">
        <f t="shared" ca="1" si="1"/>
        <v>1</v>
      </c>
      <c r="FA5">
        <f t="shared" ca="1" si="1"/>
        <v>2</v>
      </c>
      <c r="FB5">
        <f t="shared" ca="1" si="1"/>
        <v>2</v>
      </c>
      <c r="FC5">
        <f t="shared" ca="1" si="1"/>
        <v>2</v>
      </c>
      <c r="FD5">
        <f t="shared" ca="1" si="1"/>
        <v>2</v>
      </c>
      <c r="FE5">
        <f t="shared" ca="1" si="1"/>
        <v>2</v>
      </c>
      <c r="FF5">
        <f t="shared" ca="1" si="1"/>
        <v>2</v>
      </c>
      <c r="FG5">
        <f t="shared" ca="1" si="1"/>
        <v>1</v>
      </c>
      <c r="FH5">
        <f t="shared" ca="1" si="2"/>
        <v>1</v>
      </c>
      <c r="FI5">
        <f t="shared" ca="1" si="2"/>
        <v>2</v>
      </c>
      <c r="FJ5">
        <f t="shared" ca="1" si="2"/>
        <v>2</v>
      </c>
      <c r="FK5">
        <f t="shared" ca="1" si="2"/>
        <v>2</v>
      </c>
      <c r="FL5">
        <f t="shared" ca="1" si="2"/>
        <v>2</v>
      </c>
      <c r="FM5">
        <f t="shared" ca="1" si="2"/>
        <v>2</v>
      </c>
      <c r="FN5">
        <f t="shared" ca="1" si="2"/>
        <v>1</v>
      </c>
      <c r="FO5">
        <f t="shared" ca="1" si="2"/>
        <v>1</v>
      </c>
      <c r="FP5">
        <f t="shared" ca="1" si="2"/>
        <v>2</v>
      </c>
      <c r="FQ5">
        <f t="shared" ca="1" si="2"/>
        <v>2</v>
      </c>
      <c r="FR5">
        <f t="shared" ca="1" si="3"/>
        <v>2</v>
      </c>
      <c r="FS5">
        <f t="shared" ca="1" si="3"/>
        <v>2</v>
      </c>
      <c r="FT5">
        <f t="shared" ca="1" si="3"/>
        <v>2</v>
      </c>
      <c r="FU5">
        <f t="shared" ca="1" si="3"/>
        <v>1</v>
      </c>
      <c r="FV5">
        <f t="shared" ca="1" si="3"/>
        <v>2</v>
      </c>
      <c r="FW5">
        <f t="shared" ca="1" si="3"/>
        <v>1</v>
      </c>
      <c r="FX5">
        <f t="shared" ca="1" si="3"/>
        <v>2</v>
      </c>
      <c r="FY5">
        <f t="shared" ca="1" si="3"/>
        <v>2</v>
      </c>
      <c r="FZ5">
        <f t="shared" ca="1" si="3"/>
        <v>2</v>
      </c>
      <c r="GA5">
        <f t="shared" ca="1" si="3"/>
        <v>2</v>
      </c>
      <c r="GB5">
        <f t="shared" ca="1" si="4"/>
        <v>2</v>
      </c>
      <c r="GC5">
        <f t="shared" ca="1" si="4"/>
        <v>2</v>
      </c>
      <c r="GD5">
        <f t="shared" ca="1" si="4"/>
        <v>1</v>
      </c>
      <c r="GE5">
        <f t="shared" ca="1" si="4"/>
        <v>2</v>
      </c>
      <c r="GF5">
        <f t="shared" ca="1" si="4"/>
        <v>3</v>
      </c>
      <c r="GG5">
        <f t="shared" ca="1" si="4"/>
        <v>2</v>
      </c>
      <c r="GH5">
        <f t="shared" ca="1" si="4"/>
        <v>2</v>
      </c>
      <c r="GI5">
        <f t="shared" ca="1" si="4"/>
        <v>1</v>
      </c>
      <c r="GJ5">
        <f t="shared" ca="1" si="4"/>
        <v>1</v>
      </c>
      <c r="GK5">
        <f t="shared" ca="1" si="4"/>
        <v>39500</v>
      </c>
      <c r="GL5">
        <f t="shared" ca="1" si="4"/>
        <v>2</v>
      </c>
      <c r="GM5">
        <f t="shared" ca="1" si="4"/>
        <v>50</v>
      </c>
      <c r="GN5">
        <f t="shared" ca="1" si="4"/>
        <v>42.47</v>
      </c>
      <c r="GO5">
        <f t="shared" ca="1" si="4"/>
        <v>0</v>
      </c>
      <c r="GP5" s="335"/>
      <c r="GQ5" t="s">
        <v>388</v>
      </c>
      <c r="GR5">
        <v>45357</v>
      </c>
      <c r="GS5">
        <v>45328</v>
      </c>
      <c r="GT5">
        <v>3620</v>
      </c>
      <c r="GU5">
        <v>45357</v>
      </c>
      <c r="GV5">
        <v>3620</v>
      </c>
      <c r="GW5">
        <v>0.01</v>
      </c>
      <c r="GX5">
        <v>-34.9071</v>
      </c>
      <c r="GY5">
        <v>-56.199160999999997</v>
      </c>
      <c r="GZ5">
        <v>-34.907017000000003</v>
      </c>
      <c r="HA5">
        <v>-56.199171999999997</v>
      </c>
      <c r="HB5" t="e">
        <v>#REF!</v>
      </c>
      <c r="HC5">
        <v>1</v>
      </c>
      <c r="HD5">
        <v>4</v>
      </c>
      <c r="HE5">
        <v>1</v>
      </c>
      <c r="HF5">
        <v>2</v>
      </c>
      <c r="HG5">
        <v>2</v>
      </c>
      <c r="HH5">
        <v>2</v>
      </c>
      <c r="HI5">
        <v>2</v>
      </c>
      <c r="HJ5">
        <v>2</v>
      </c>
      <c r="HK5">
        <v>1</v>
      </c>
      <c r="HL5">
        <v>2</v>
      </c>
      <c r="HM5">
        <v>2</v>
      </c>
      <c r="HN5">
        <v>2</v>
      </c>
      <c r="HO5">
        <v>2</v>
      </c>
      <c r="HP5">
        <v>1</v>
      </c>
      <c r="HQ5">
        <v>2</v>
      </c>
      <c r="HR5">
        <v>2</v>
      </c>
      <c r="HS5">
        <v>1</v>
      </c>
      <c r="HT5">
        <v>1</v>
      </c>
      <c r="HU5">
        <v>2</v>
      </c>
      <c r="HV5">
        <v>2</v>
      </c>
      <c r="HW5">
        <v>2</v>
      </c>
      <c r="HX5">
        <v>2</v>
      </c>
      <c r="HY5">
        <v>2</v>
      </c>
      <c r="HZ5">
        <v>2</v>
      </c>
      <c r="IA5">
        <v>2</v>
      </c>
      <c r="IB5">
        <v>1</v>
      </c>
      <c r="IC5">
        <v>2</v>
      </c>
      <c r="ID5">
        <v>2</v>
      </c>
      <c r="IE5">
        <v>2</v>
      </c>
      <c r="IF5">
        <v>1</v>
      </c>
      <c r="IG5">
        <v>1</v>
      </c>
      <c r="IH5">
        <v>2</v>
      </c>
      <c r="II5">
        <v>1</v>
      </c>
      <c r="IJ5">
        <v>2</v>
      </c>
      <c r="IK5">
        <v>2</v>
      </c>
      <c r="IL5">
        <v>2</v>
      </c>
      <c r="IM5">
        <v>1</v>
      </c>
      <c r="IN5">
        <v>1</v>
      </c>
      <c r="IO5">
        <v>1</v>
      </c>
      <c r="IP5">
        <v>1874</v>
      </c>
      <c r="IQ5">
        <v>1</v>
      </c>
      <c r="IR5">
        <v>45</v>
      </c>
      <c r="IS5">
        <v>22.08</v>
      </c>
      <c r="IT5">
        <v>1</v>
      </c>
      <c r="IU5">
        <v>21</v>
      </c>
      <c r="IV5" t="s">
        <v>308</v>
      </c>
      <c r="IX5">
        <v>1.9089728669052337</v>
      </c>
      <c r="IY5">
        <v>0</v>
      </c>
      <c r="IZ5">
        <v>1.9089728669052337</v>
      </c>
      <c r="JA5">
        <v>12.486524268053728</v>
      </c>
      <c r="JB5">
        <v>4</v>
      </c>
    </row>
    <row r="6" spans="1:262" ht="22.8" x14ac:dyDescent="0.25">
      <c r="A6" s="334"/>
      <c r="B6" s="232">
        <v>5</v>
      </c>
      <c r="C6" s="232" t="s">
        <v>316</v>
      </c>
      <c r="D6" s="232">
        <v>55</v>
      </c>
      <c r="E6" s="267" t="s">
        <v>67</v>
      </c>
      <c r="F6" s="232">
        <v>12</v>
      </c>
      <c r="G6" s="232">
        <v>12</v>
      </c>
      <c r="H6" s="143" t="s">
        <v>274</v>
      </c>
      <c r="I6" s="232">
        <v>15</v>
      </c>
      <c r="J6" s="267" t="s">
        <v>19</v>
      </c>
      <c r="K6" s="232">
        <f>'Upload spec'!G26</f>
        <v>2</v>
      </c>
      <c r="L6" s="314" t="s">
        <v>151</v>
      </c>
      <c r="Q6"/>
      <c r="R6" s="335"/>
      <c r="W6" s="161" t="s">
        <v>327</v>
      </c>
      <c r="X6" s="165" cm="1">
        <f t="array" ref="X6">SUMPRODUCT(--($W$112:$W$113=TRUE),--(X112:X113))+SUMPRODUCT(--($W$22:$W$107=TRUE),--(X22:X107))</f>
        <v>1</v>
      </c>
      <c r="Y6" s="165" cm="1">
        <f t="array" ref="Y6">SUMPRODUCT(--($W$112:$W$113=TRUE),--(Y112:Y113))+SUMPRODUCT(--($W$22:$W$107=TRUE),--(Y22:Y107))</f>
        <v>0</v>
      </c>
      <c r="Z6" s="165" cm="1">
        <f t="array" ref="Z6">SUMPRODUCT(--($W$112:$W$113=TRUE),--(Z112:Z113))+SUMPRODUCT(--($W$22:$W$107=TRUE),--(Z22:Z107))</f>
        <v>1</v>
      </c>
      <c r="AA6" s="183" cm="1">
        <f t="array" ref="AA6">SUMPRODUCT(--($W$112:$W$113=TRUE),--(AA112:AA113))+SUMPRODUCT(--($W$22:$W$107=TRUE),--(AA22:AA107))</f>
        <v>1</v>
      </c>
      <c r="AB6" s="165" cm="1">
        <f t="array" ref="AB6">SUMPRODUCT(--($W$112:$W$113=TRUE),--(AB112:AB113))+SUMPRODUCT(--($W$22:$W$107=TRUE),--(AB22:AB107))</f>
        <v>1</v>
      </c>
      <c r="AC6" s="165" cm="1">
        <f t="array" ref="AC6">SUMPRODUCT(--($W$112:$W$113=TRUE),--(AC112:AC113))+SUMPRODUCT(--($W$22:$W$107=TRUE),--(AC22:AC107))</f>
        <v>0</v>
      </c>
      <c r="AD6" s="165" cm="1">
        <f t="array" ref="AD6">SUMPRODUCT(--($W$112:$W$113=TRUE),--(AD112:AD113))+SUMPRODUCT(--($W$22:$W$107=TRUE),--(AD22:AD107))</f>
        <v>1</v>
      </c>
      <c r="AE6" s="183" cm="1">
        <f t="array" ref="AE6">SUMPRODUCT(--($W$112:$W$113=TRUE),--(AE112:AE113))+SUMPRODUCT(--($W$22:$W$107=TRUE),--(AE22:AE107))</f>
        <v>1</v>
      </c>
      <c r="AF6" s="183" cm="1">
        <f t="array" ref="AF6">SUMPRODUCT(--($W$112:$W$113=TRUE),--(AF112:AF113))+SUMPRODUCT(--($W$22:$W$107=TRUE),--(AF22:AF107))</f>
        <v>2</v>
      </c>
      <c r="AG6" s="183" cm="1">
        <f t="array" ref="AG6">SUMPRODUCT(--($W$112:$W$113=TRUE),--(AG112:AG113))+SUMPRODUCT(--($W$22:$W$107=TRUE),--(AG22:AG107))</f>
        <v>2</v>
      </c>
      <c r="AH6" s="196" cm="1">
        <f t="array" ref="AH6">SUMPRODUCT(--($W$112:$W$113=TRUE),--(AH112:AH113))+SUMPRODUCT(--($W$22:$W$107=TRUE),--(AH22:AH107))</f>
        <v>2</v>
      </c>
      <c r="AI6" s="183" cm="1">
        <f t="array" ref="AI6">SUMPRODUCT(--($W$112:$W$113=TRUE),--(AI112:AI113))+SUMPRODUCT(--($W$22:$W$107=TRUE),--(AI22:AI107))</f>
        <v>2</v>
      </c>
      <c r="AJ6" s="196" cm="1">
        <f t="array" ref="AJ6">SUMPRODUCT(--($W$112:$W$113=TRUE),--(AJ112:AJ113))+SUMPRODUCT(--($W$22:$W$107=TRUE),--(AJ22:AJ107))</f>
        <v>2</v>
      </c>
      <c r="AK6" s="196" cm="1">
        <f t="array" ref="AK6">SUMPRODUCT(--($W$112:$W$113=TRUE),--(AK112:AK113))+SUMPRODUCT(--($W$22:$W$107=TRUE),--(AK22:AK107))</f>
        <v>1</v>
      </c>
      <c r="AL6" s="196" cm="1">
        <f t="array" ref="AL6">SUMPRODUCT(--($W$112:$W$113=TRUE),--(AL112:AL113))+SUMPRODUCT(--($W$22:$W$107=TRUE),--(AL22:AL107))</f>
        <v>1</v>
      </c>
      <c r="AM6" s="196" cm="1">
        <f t="array" ref="AM6">SUMPRODUCT(--($W$112:$W$113=TRUE),--(AM112:AM113))+SUMPRODUCT(--($W$22:$W$107=TRUE),--(AM22:AM107))</f>
        <v>0</v>
      </c>
      <c r="AN6" s="196" cm="1">
        <f t="array" ref="AN6">SUMPRODUCT(--($W$112:$W$113=TRUE),--(AN112:AN113))+SUMPRODUCT(--($W$22:$W$107=TRUE),--(AN22:AN107))</f>
        <v>0</v>
      </c>
      <c r="AO6" s="196" cm="1">
        <f t="array" ref="AO6">SUMPRODUCT(--($W$112:$W$113=TRUE),--(AO112:AO113))+SUMPRODUCT(--($W$22:$W$107=TRUE),--(AO22:AO107))</f>
        <v>2</v>
      </c>
      <c r="AP6" s="196" cm="1">
        <f t="array" ref="AP6">SUMPRODUCT(--($W$112:$W$113=TRUE),--(AP112:AP113))+SUMPRODUCT(--($W$22:$W$107=TRUE),--(AP22:AP107))</f>
        <v>1</v>
      </c>
      <c r="AQ6" s="196" cm="1">
        <f t="array" ref="AQ6">SUMPRODUCT(--($W$112:$W$113=TRUE),--(AQ112:AQ113))+SUMPRODUCT(--($W$22:$W$107=TRUE),--(AQ22:AQ107))</f>
        <v>1</v>
      </c>
      <c r="AR6" s="196" cm="1">
        <f t="array" ref="AR6">SUMPRODUCT(--($W$112:$W$113=TRUE),--(AR112:AR113))+SUMPRODUCT(--($W$22:$W$107=TRUE),--(AR22:AR107))</f>
        <v>1</v>
      </c>
      <c r="AS6" s="196" cm="1">
        <f t="array" ref="AS6">SUMPRODUCT(--($W$112:$W$113=TRUE),--(AS112:AS113))+SUMPRODUCT(--($W$22:$W$107=TRUE),--(AS22:AS107))</f>
        <v>1</v>
      </c>
      <c r="AT6" s="196" cm="1">
        <f t="array" ref="AT6">SUMPRODUCT(--($W$112:$W$113=TRUE),--(AT112:AT113))+SUMPRODUCT(--($W$22:$W$107=TRUE),--(AT22:AT107))</f>
        <v>1</v>
      </c>
      <c r="AU6" s="196" cm="1">
        <f t="array" ref="AU6">SUMPRODUCT(--($W$112:$W$113=TRUE),--(AU112:AU113))+SUMPRODUCT(--($W$22:$W$107=TRUE),--(AU22:AU107))</f>
        <v>1</v>
      </c>
      <c r="AV6" s="207" cm="1">
        <f t="array" ref="AV6">SUMPRODUCT(--($W$112:$W$113=TRUE),--(AV112:AV113))+SUMPRODUCT(--($W$22:$W$107=TRUE),--(AV22:AV107))</f>
        <v>3</v>
      </c>
      <c r="AW6" s="196" cm="1">
        <f t="array" ref="AW6">SUMPRODUCT(--($W$112:$W$113=TRUE),--(AW112:AW113))+SUMPRODUCT(--($W$22:$W$107=TRUE),--(AW22:AW107))</f>
        <v>3</v>
      </c>
      <c r="AX6" s="196" cm="1">
        <f t="array" ref="AX6">SUMPRODUCT(--($W$112:$W$113=TRUE),--(AX112:AX113))+SUMPRODUCT(--($W$22:$W$107=TRUE),--(AX22:AX107))</f>
        <v>2</v>
      </c>
      <c r="AY6" s="196" cm="1">
        <f t="array" ref="AY6">SUMPRODUCT(--($W$112:$W$113=TRUE),--(AY112:AY113))+SUMPRODUCT(--($W$22:$W$107=TRUE),--(AY22:AY107))</f>
        <v>1</v>
      </c>
      <c r="AZ6" s="196" cm="1">
        <f t="array" ref="AZ6">SUMPRODUCT(--($W$112:$W$113=TRUE),--(AZ112:AZ113))+SUMPRODUCT(--($W$22:$W$107=TRUE),--(AZ22:AZ107))</f>
        <v>2</v>
      </c>
      <c r="BA6" s="196" cm="1">
        <f t="array" ref="BA6">SUMPRODUCT(--($W$112:$W$113=TRUE),--(BA112:BA113))+SUMPRODUCT(--($W$22:$W$107=TRUE),--(BA22:BA107))</f>
        <v>1</v>
      </c>
      <c r="BB6" s="196" cm="1">
        <f t="array" ref="BB6">SUMPRODUCT(--($W$112:$W$113=TRUE),--(BB112:BB113))+SUMPRODUCT(--($W$22:$W$107=TRUE),--(BB22:BB107))</f>
        <v>2</v>
      </c>
      <c r="BC6" s="196" cm="1">
        <f t="array" ref="BC6">SUMPRODUCT(--($W$112:$W$113=TRUE),--(BC112:BC113))+SUMPRODUCT(--($W$22:$W$107=TRUE),--(BC22:BC107))</f>
        <v>0</v>
      </c>
      <c r="BD6" s="196" cm="1">
        <f t="array" ref="BD6">SUMPRODUCT(--($W$112:$W$113=TRUE),--(BD112:BD113))+SUMPRODUCT(--($W$22:$W$107=TRUE),--(BD22:BD107))</f>
        <v>0</v>
      </c>
      <c r="BE6" s="196" cm="1">
        <f t="array" ref="BE6">SUMPRODUCT(--($W$112:$W$113=TRUE),--(BE112:BE113))+SUMPRODUCT(--($W$22:$W$107=TRUE),--(BE22:BE107))</f>
        <v>1</v>
      </c>
      <c r="BF6" s="196" cm="1">
        <f t="array" ref="BF6">SUMPRODUCT(--($W$112:$W$113=TRUE),--(BF112:BF113))+SUMPRODUCT(--($W$22:$W$107=TRUE),--(BF22:BF107))</f>
        <v>1</v>
      </c>
      <c r="BG6" s="196" cm="1">
        <f t="array" ref="BG6">SUMPRODUCT(--($W$112:$W$113=TRUE),--(BG112:BG113))+SUMPRODUCT(--($W$22:$W$107=TRUE),--(BG22:BG107))</f>
        <v>0</v>
      </c>
      <c r="BH6" s="196" cm="1">
        <f t="array" ref="BH6">SUMPRODUCT(--($W$112:$W$113=TRUE),--(BH112:BH113))+SUMPRODUCT(--($W$22:$W$107=TRUE),--(BH22:BH107))</f>
        <v>0</v>
      </c>
      <c r="BI6" s="196" cm="1">
        <f t="array" ref="BI6">SUMPRODUCT(--($W$112:$W$113=TRUE),--(BI112:BI113))+SUMPRODUCT(--($W$22:$W$107=TRUE),--(BI22:BI107))</f>
        <v>0</v>
      </c>
      <c r="BJ6" s="196" cm="1">
        <f t="array" ref="BJ6">SUMPRODUCT(--($W$112:$W$113=TRUE),--(BJ112:BJ113))+SUMPRODUCT(--($W$22:$W$107=TRUE),--(BJ22:BJ107))</f>
        <v>0</v>
      </c>
      <c r="BK6" s="196" cm="1">
        <f t="array" ref="BK6">SUMPRODUCT(--($W$112:$W$113=TRUE),--(BK112:BK113))+SUMPRODUCT(--($W$22:$W$107=TRUE),--(BK22:BK107))</f>
        <v>2</v>
      </c>
      <c r="BL6" s="196" cm="1">
        <f t="array" ref="BL6">SUMPRODUCT(--($W$112:$W$113=TRUE),--(BL112:BL113))+SUMPRODUCT(--($W$22:$W$107=TRUE),--(BL22:BL107))</f>
        <v>0</v>
      </c>
      <c r="BM6" s="196" cm="1">
        <f t="array" ref="BM6">SUMPRODUCT(--($W$112:$W$113=TRUE),--(BM112:BM113))+SUMPRODUCT(--($W$22:$W$107=TRUE),--(BM22:BM107))</f>
        <v>0</v>
      </c>
      <c r="BN6" s="196" cm="1">
        <f t="array" ref="BN6">SUMPRODUCT(--($W$112:$W$113=TRUE),--(BN112:BN113))+SUMPRODUCT(--($W$22:$W$107=TRUE),--(BN22:BN107))</f>
        <v>1</v>
      </c>
      <c r="BO6" s="196" cm="1">
        <f t="array" ref="BO6">SUMPRODUCT(--($W$112:$W$113=TRUE),--(BO112:BO113))+SUMPRODUCT(--($W$22:$W$107=TRUE),--(BO22:BO107))</f>
        <v>1</v>
      </c>
      <c r="BP6" s="196" cm="1">
        <f t="array" ref="BP6">SUMPRODUCT(--($W$112:$W$113=TRUE),--(BP112:BP113))+SUMPRODUCT(--($W$22:$W$107=TRUE),--(BP22:BP107))</f>
        <v>1</v>
      </c>
      <c r="BQ6" s="196" cm="1">
        <f t="array" ref="BQ6">SUMPRODUCT(--($W$112:$W$113=TRUE),--(BQ112:BQ113))+SUMPRODUCT(--($W$22:$W$107=TRUE),--(BQ22:BQ107))</f>
        <v>1</v>
      </c>
      <c r="BR6" s="196" cm="1">
        <f t="array" ref="BR6">SUMPRODUCT(--($W$112:$W$113=TRUE),--(BR112:BR113))+SUMPRODUCT(--($W$22:$W$107=TRUE),--(BR22:BR107))</f>
        <v>1</v>
      </c>
      <c r="BS6" s="196" cm="1">
        <f t="array" ref="BS6">SUMPRODUCT(--($W$112:$W$113=TRUE),--(BS112:BS113))+SUMPRODUCT(--($W$22:$W$107=TRUE),--(BS22:BS107))</f>
        <v>1</v>
      </c>
      <c r="BT6" s="196" cm="1">
        <f t="array" ref="BT6">SUMPRODUCT(--($W$112:$W$113=TRUE),--(BT112:BT113))+SUMPRODUCT(--($W$22:$W$107=TRUE),--(BT22:BT107))</f>
        <v>1</v>
      </c>
      <c r="BU6" s="196" cm="1">
        <f t="array" ref="BU6">SUMPRODUCT(--($W$112:$W$113=TRUE),--(BU112:BU113))+SUMPRODUCT(--($W$22:$W$107=TRUE),--(BU22:BU107))</f>
        <v>1</v>
      </c>
      <c r="BV6" s="196" cm="1">
        <f t="array" ref="BV6">SUMPRODUCT(--($W$112:$W$113=TRUE),--(BV112:BV113))+SUMPRODUCT(--($W$22:$W$107=TRUE),--(BV22:BV107))</f>
        <v>1</v>
      </c>
      <c r="BW6" s="196" cm="1">
        <f t="array" ref="BW6">SUMPRODUCT(--($W$112:$W$113=TRUE),--(BW112:BW113))+SUMPRODUCT(--($W$22:$W$107=TRUE),--(BW22:BW107))</f>
        <v>0</v>
      </c>
      <c r="BX6" s="196" cm="1">
        <f t="array" ref="BX6">SUMPRODUCT(--($W$112:$W$113=TRUE),--(BX112:BX113))+SUMPRODUCT(--($W$22:$W$107=TRUE),--(BX22:BX107))</f>
        <v>0</v>
      </c>
      <c r="BY6" s="196" cm="1">
        <f t="array" ref="BY6">SUMPRODUCT(--($W$112:$W$113=TRUE),--(BY112:BY113))+SUMPRODUCT(--($W$22:$W$107=TRUE),--(BY22:BY107))</f>
        <v>0</v>
      </c>
      <c r="BZ6" s="196" cm="1">
        <f t="array" ref="BZ6">SUMPRODUCT(--($W$112:$W$113=TRUE),--(BZ112:BZ113))+SUMPRODUCT(--($W$22:$W$107=TRUE),--(BZ22:BZ107))</f>
        <v>0</v>
      </c>
      <c r="CA6" s="196" cm="1">
        <f t="array" ref="CA6">SUMPRODUCT(--($W$112:$W$113=TRUE),--(CA112:CA113))+SUMPRODUCT(--($W$22:$W$107=TRUE),--(CA22:CA107))</f>
        <v>0</v>
      </c>
      <c r="CB6" s="196" cm="1">
        <f t="array" ref="CB6">SUMPRODUCT(--($W$112:$W$113=TRUE),--(CB112:CB113))+SUMPRODUCT(--($W$22:$W$107=TRUE),--(CB22:CB107))</f>
        <v>1</v>
      </c>
      <c r="CC6" s="196" cm="1">
        <f t="array" ref="CC6">SUMPRODUCT(--($W$112:$W$113=TRUE),--(CC112:CC113))+SUMPRODUCT(--($W$22:$W$107=TRUE),--(CC22:CC107))</f>
        <v>0</v>
      </c>
      <c r="CD6" s="196" cm="1">
        <f t="array" ref="CD6">SUMPRODUCT(--($W$112:$W$113=TRUE),--(CD112:CD113))+SUMPRODUCT(--($W$22:$W$107=TRUE),--(CD22:CD107))</f>
        <v>4</v>
      </c>
      <c r="CE6" s="196" cm="1">
        <f t="array" ref="CE6">SUMPRODUCT(--($W$112:$W$113=TRUE),--(CE112:CE113))+SUMPRODUCT(--($W$22:$W$107=TRUE),--(CE22:CE107))</f>
        <v>3</v>
      </c>
      <c r="CF6" s="196" cm="1">
        <f t="array" ref="CF6">SUMPRODUCT(--($W$112:$W$113=TRUE),--(CF112:CF113))+SUMPRODUCT(--($W$22:$W$107=TRUE),--(CF22:CF107))</f>
        <v>4</v>
      </c>
      <c r="CG6" s="196" cm="1">
        <f t="array" ref="CG6">SUMPRODUCT(--($W$112:$W$113=TRUE),--(CG112:CG113))+SUMPRODUCT(--($W$22:$W$107=TRUE),--(CG22:CG107))</f>
        <v>2</v>
      </c>
      <c r="CH6" s="196" cm="1">
        <f t="array" ref="CH6">SUMPRODUCT(--($W$112:$W$113=TRUE),--(CH112:CH113))+SUMPRODUCT(--($W$22:$W$107=TRUE),--(CH22:CH107))</f>
        <v>2</v>
      </c>
      <c r="CI6" s="196" cm="1">
        <f t="array" ref="CI6">SUMPRODUCT(--($W$112:$W$113=TRUE),--(CI112:CI113))+SUMPRODUCT(--($W$22:$W$107=TRUE),--(CI22:CI107))</f>
        <v>2</v>
      </c>
      <c r="CJ6" s="196" cm="1">
        <f t="array" ref="CJ6">SUMPRODUCT(--($W$112:$W$113=TRUE),--(CJ112:CJ113))+SUMPRODUCT(--($W$22:$W$107=TRUE),--(CJ22:CJ107))</f>
        <v>2</v>
      </c>
      <c r="CK6" s="196" cm="1">
        <f t="array" ref="CK6">SUMPRODUCT(--($W$112:$W$113=TRUE),--(CK112:CK113))+SUMPRODUCT(--($W$22:$W$107=TRUE),--(CK22:CK107))</f>
        <v>0</v>
      </c>
      <c r="CL6" s="196" cm="1">
        <f t="array" ref="CL6">SUMPRODUCT(--($W$112:$W$113=TRUE),--(CL112:CL113))+SUMPRODUCT(--($W$22:$W$107=TRUE),--(CL22:CL107))</f>
        <v>0</v>
      </c>
      <c r="CM6" s="196" cm="1">
        <f t="array" ref="CM6">SUMPRODUCT(--($W$112:$W$113=TRUE),--(CM112:CM113))+SUMPRODUCT(--($W$22:$W$107=TRUE),--(CM22:CM107))</f>
        <v>0</v>
      </c>
      <c r="CN6" s="196" cm="1">
        <f t="array" ref="CN6">SUMPRODUCT(--($W$112:$W$113=TRUE),--(CN112:CN113))+SUMPRODUCT(--($W$22:$W$107=TRUE),--(CN22:CN107))</f>
        <v>0</v>
      </c>
      <c r="CO6" s="196" cm="1">
        <f t="array" ref="CO6">SUMPRODUCT(--($W$112:$W$113=TRUE),--(CO112:CO113))+SUMPRODUCT(--($W$22:$W$107=TRUE),--(CO22:CO107))</f>
        <v>1</v>
      </c>
      <c r="CP6" s="196" cm="1">
        <f t="array" ref="CP6">SUMPRODUCT(--($W$112:$W$113=TRUE),--(CP112:CP113))+SUMPRODUCT(--($W$22:$W$107=TRUE),--(CP22:CP107))</f>
        <v>3</v>
      </c>
      <c r="CQ6" s="196" cm="1">
        <f t="array" ref="CQ6">SUMPRODUCT(--($W$112:$W$113=TRUE),--(CQ112:CQ113))+SUMPRODUCT(--($W$22:$W$107=TRUE),--(CQ22:CQ107))</f>
        <v>4</v>
      </c>
      <c r="CR6" s="196" cm="1">
        <f t="array" ref="CR6">SUMPRODUCT(--($W$112:$W$113=TRUE),--(CR112:CR113))+SUMPRODUCT(--($W$22:$W$107=TRUE),--(CR22:CR107))</f>
        <v>4</v>
      </c>
      <c r="CS6" s="196" cm="1">
        <f t="array" ref="CS6">SUMPRODUCT(--($W$112:$W$113=TRUE),--(CS112:CS113))+SUMPRODUCT(--($W$22:$W$107=TRUE),--(CS22:CS107))</f>
        <v>0</v>
      </c>
      <c r="CT6" s="196" cm="1">
        <f t="array" ref="CT6">SUMPRODUCT(--($W$112:$W$113=TRUE),--(CT112:CT113))+SUMPRODUCT(--($W$22:$W$107=TRUE),--(CT22:CT107))</f>
        <v>0</v>
      </c>
      <c r="CU6" s="196" cm="1">
        <f t="array" ref="CU6">SUMPRODUCT(--($W$112:$W$113=TRUE),--(CU112:CU113))+SUMPRODUCT(--($W$22:$W$107=TRUE),--(CU22:CU107))</f>
        <v>1</v>
      </c>
      <c r="CV6" s="196" cm="1">
        <f t="array" ref="CV6">SUMPRODUCT(--($W$112:$W$113=TRUE),--(CV112:CV113))+SUMPRODUCT(--($W$22:$W$107=TRUE),--(CV22:CV107))</f>
        <v>0</v>
      </c>
      <c r="CW6" s="196" cm="1">
        <f t="array" ref="CW6">SUMPRODUCT(--($W$112:$W$113=TRUE),--(CW112:CW113))+SUMPRODUCT(--($W$22:$W$107=TRUE),--(CW22:CW107))</f>
        <v>1</v>
      </c>
      <c r="CX6" s="196" cm="1">
        <f t="array" ref="CX6">SUMPRODUCT(--($W$112:$W$113=TRUE),--(CX112:CX113))+SUMPRODUCT(--($W$22:$W$107=TRUE),--(CX22:CX107))</f>
        <v>0</v>
      </c>
      <c r="CY6" s="196" cm="1">
        <f t="array" ref="CY6">SUMPRODUCT(--($W$112:$W$113=TRUE),--(CY112:CY113))+SUMPRODUCT(--($W$22:$W$107=TRUE),--(CY22:CY107))</f>
        <v>0</v>
      </c>
      <c r="CZ6" s="196" cm="1">
        <f t="array" ref="CZ6">SUMPRODUCT(--($W$112:$W$113=TRUE),--(CZ112:CZ113))+SUMPRODUCT(--($W$22:$W$107=TRUE),--(CZ22:CZ107))</f>
        <v>1</v>
      </c>
      <c r="DA6" s="196" cm="1">
        <f t="array" ref="DA6">SUMPRODUCT(--($W$112:$W$113=TRUE),--(DA112:DA113))+SUMPRODUCT(--($W$22:$W$107=TRUE),--(DA22:DA107))</f>
        <v>0</v>
      </c>
      <c r="DB6" s="196" cm="1">
        <f t="array" ref="DB6">SUMPRODUCT(--($W$112:$W$113=TRUE),--(DB112:DB113))+SUMPRODUCT(--($W$22:$W$107=TRUE),--(DB22:DB107))</f>
        <v>0</v>
      </c>
      <c r="DC6" s="196" cm="1">
        <f t="array" ref="DC6">SUMPRODUCT(--($W$112:$W$113=TRUE),--(DC112:DC113))+SUMPRODUCT(--($W$22:$W$107=TRUE),--(DC22:DC107))</f>
        <v>1</v>
      </c>
      <c r="DD6" s="196" cm="1">
        <f t="array" ref="DD6">SUMPRODUCT(--($W$112:$W$113=TRUE),--(DD112:DD113))+SUMPRODUCT(--($W$22:$W$107=TRUE),--(DD22:DD107))</f>
        <v>1</v>
      </c>
      <c r="DE6" s="196" cm="1">
        <f t="array" ref="DE6">SUMPRODUCT(--($W$112:$W$113=TRUE),--(DE112:DE113))+SUMPRODUCT(--($W$22:$W$107=TRUE),--(DE22:DE107))</f>
        <v>1</v>
      </c>
      <c r="DF6" s="196" cm="1">
        <f t="array" ref="DF6">SUMPRODUCT(--($W$112:$W$113=TRUE),--(DF112:DF113))+SUMPRODUCT(--($W$22:$W$107=TRUE),--(DF22:DF107))</f>
        <v>1</v>
      </c>
      <c r="DG6" s="196" cm="1">
        <f t="array" ref="DG6">SUMPRODUCT(--($W$112:$W$113=TRUE),--(DG112:DG113))+SUMPRODUCT(--($W$22:$W$107=TRUE),--(DG22:DG107))</f>
        <v>0</v>
      </c>
      <c r="DH6" s="196" cm="1">
        <f t="array" ref="DH6">SUMPRODUCT(--($W$112:$W$113=TRUE),--(DH112:DH113))+SUMPRODUCT(--($W$22:$W$107=TRUE),--(DH22:DH107))</f>
        <v>0</v>
      </c>
      <c r="DI6" s="196" cm="1">
        <f t="array" ref="DI6">SUMPRODUCT(--($W$112:$W$113=TRUE),--(DI112:DI113))+SUMPRODUCT(--($W$22:$W$107=TRUE),--(DI22:DI107))</f>
        <v>0</v>
      </c>
      <c r="DJ6" s="196" cm="1">
        <f t="array" ref="DJ6">SUMPRODUCT(--($W$112:$W$113=TRUE),--(DJ112:DJ113))+SUMPRODUCT(--($W$22:$W$107=TRUE),--(DJ22:DJ107))</f>
        <v>0</v>
      </c>
      <c r="DK6" s="196" cm="1">
        <f t="array" ref="DK6">SUMPRODUCT(--($W$112:$W$113=TRUE),--(DK112:DK113))+SUMPRODUCT(--($W$22:$W$107=TRUE),--(DK22:DK107))</f>
        <v>1</v>
      </c>
      <c r="DL6" s="196" cm="1">
        <f t="array" ref="DL6">SUMPRODUCT(--($W$112:$W$113=TRUE),--(DL112:DL113))+SUMPRODUCT(--($W$22:$W$107=TRUE),--(DL22:DL107))</f>
        <v>1</v>
      </c>
      <c r="DM6" s="196" cm="1">
        <f t="array" ref="DM6">SUMPRODUCT(--($W$112:$W$113=TRUE),--(DM112:DM113))+SUMPRODUCT(--($W$22:$W$107=TRUE),--(DM22:DM107))</f>
        <v>0</v>
      </c>
      <c r="DN6" s="196" cm="1">
        <f t="array" ref="DN6">SUMPRODUCT(--($W$112:$W$113=TRUE),--(DN112:DN113))+SUMPRODUCT(--($W$22:$W$107=TRUE),--(DN22:DN107))</f>
        <v>0</v>
      </c>
      <c r="DO6" s="196" cm="1">
        <f t="array" ref="DO6">SUMPRODUCT(--($W$112:$W$113=TRUE),--(DO112:DO113))+SUMPRODUCT(--($W$22:$W$107=TRUE),--(DO22:DO107))</f>
        <v>1</v>
      </c>
      <c r="DP6" s="196" cm="1">
        <f t="array" ref="DP6">SUMPRODUCT(--($W$112:$W$113=TRUE),--(DP112:DP113))+SUMPRODUCT(--($W$22:$W$107=TRUE),--(DP22:DP107))</f>
        <v>1</v>
      </c>
      <c r="DQ6" s="196" cm="1">
        <f t="array" ref="DQ6">SUMPRODUCT(--($W$112:$W$113=TRUE),--(DQ112:DQ113))+SUMPRODUCT(--($W$22:$W$107=TRUE),--(DQ22:DQ107))</f>
        <v>0</v>
      </c>
      <c r="DR6" s="196" cm="1">
        <f t="array" ref="DR6">SUMPRODUCT(--($W$112:$W$113=TRUE),--(DR112:DR113))+SUMPRODUCT(--($W$22:$W$107=TRUE),--(DR22:DR107))</f>
        <v>1</v>
      </c>
      <c r="DS6" s="196" cm="1">
        <f t="array" ref="DS6">SUMPRODUCT(--($W$112:$W$113=TRUE),--(DS112:DS113))+SUMPRODUCT(--($W$22:$W$107=TRUE),--(DS22:DS107))</f>
        <v>1</v>
      </c>
      <c r="DT6" s="196" cm="1">
        <f t="array" ref="DT6">SUMPRODUCT(--($W$112:$W$113=TRUE),--(DT112:DT113))+SUMPRODUCT(--($W$22:$W$107=TRUE),--(DT22:DT107))</f>
        <v>0</v>
      </c>
      <c r="DU6" s="196" cm="1">
        <f t="array" ref="DU6">SUMPRODUCT(--($W$112:$W$113=TRUE),--(DU112:DU113))+SUMPRODUCT(--($W$22:$W$107=TRUE),--(DU22:DU107))</f>
        <v>2</v>
      </c>
      <c r="DV6" s="196" cm="1">
        <f t="array" ref="DV6">SUMPRODUCT(--($W$112:$W$113=TRUE),--(DV112:DV113))+SUMPRODUCT(--($W$22:$W$107=TRUE),--(DV22:DV107))</f>
        <v>1</v>
      </c>
      <c r="DW6" s="196" cm="1">
        <f t="array" ref="DW6">SUMPRODUCT(--($W$112:$W$113=TRUE),--(DW112:DW113))+SUMPRODUCT(--($W$22:$W$107=TRUE),--(DW22:DW107))</f>
        <v>1</v>
      </c>
      <c r="DX6" s="196" cm="1">
        <f t="array" ref="DX6">SUMPRODUCT(--($W$112:$W$113=TRUE),--(DX112:DX113))+SUMPRODUCT(--($W$22:$W$107=TRUE),--(DX22:DX107))</f>
        <v>1</v>
      </c>
      <c r="DZ6" s="12"/>
      <c r="EA6" s="12"/>
      <c r="EB6" s="335"/>
      <c r="EC6" s="232">
        <v>5</v>
      </c>
      <c r="ED6" s="232" t="s">
        <v>316</v>
      </c>
      <c r="EE6" t="b" cm="1">
        <f t="array" ref="EE6">IF(SUMPRODUCT(--($EC6=$X$2:$DX$2),--($X$9:$DX$9))&gt;=1,TRUE,FALSE)</f>
        <v>0</v>
      </c>
      <c r="EF6" s="29" t="str">
        <f>'CycleRAP Model'!K7</f>
        <v>Road/facility name or descriptor</v>
      </c>
      <c r="EG6" t="str">
        <f>'CycleRAP Model'!O7</f>
        <v>Carrera 30</v>
      </c>
      <c r="EH6" s="335"/>
      <c r="EI6" s="232">
        <v>5</v>
      </c>
      <c r="EJ6" s="232" t="s">
        <v>316</v>
      </c>
      <c r="EK6" t="b">
        <f t="shared" si="5"/>
        <v>0</v>
      </c>
      <c r="EL6" t="str">
        <f t="shared" ca="1" si="0"/>
        <v>Gabriel G</v>
      </c>
      <c r="EM6">
        <f t="shared" ca="1" si="0"/>
        <v>45076</v>
      </c>
      <c r="EN6">
        <f t="shared" ca="1" si="0"/>
        <v>45076</v>
      </c>
      <c r="EO6" t="str">
        <f t="shared" ca="1" si="0"/>
        <v>F004560</v>
      </c>
      <c r="EP6" t="str">
        <f t="shared" ca="1" si="0"/>
        <v>Carrera 30</v>
      </c>
      <c r="EQ6">
        <f t="shared" ca="1" si="0"/>
        <v>4560</v>
      </c>
      <c r="ER6">
        <f t="shared" ca="1" si="0"/>
        <v>0.01</v>
      </c>
      <c r="ES6">
        <f t="shared" ca="1" si="0"/>
        <v>4.6501536000000003</v>
      </c>
      <c r="ET6">
        <f t="shared" ca="1" si="0"/>
        <v>-74.078029700000002</v>
      </c>
      <c r="EU6">
        <f t="shared" ca="1" si="0"/>
        <v>4.6502423000000004</v>
      </c>
      <c r="EV6">
        <f t="shared" ca="1" si="0"/>
        <v>-74.078021500000006</v>
      </c>
      <c r="EW6" t="e">
        <f t="shared" ca="1" si="0"/>
        <v>#REF!</v>
      </c>
      <c r="EX6">
        <f t="shared" ca="1" si="1"/>
        <v>2</v>
      </c>
      <c r="EY6">
        <f t="shared" ca="1" si="1"/>
        <v>3</v>
      </c>
      <c r="EZ6">
        <f t="shared" ca="1" si="1"/>
        <v>1</v>
      </c>
      <c r="FA6">
        <f t="shared" ca="1" si="1"/>
        <v>2</v>
      </c>
      <c r="FB6">
        <f t="shared" ca="1" si="1"/>
        <v>2</v>
      </c>
      <c r="FC6">
        <f t="shared" ca="1" si="1"/>
        <v>2</v>
      </c>
      <c r="FD6">
        <f t="shared" ca="1" si="1"/>
        <v>2</v>
      </c>
      <c r="FE6">
        <f t="shared" ca="1" si="1"/>
        <v>2</v>
      </c>
      <c r="FF6">
        <f t="shared" ca="1" si="1"/>
        <v>2</v>
      </c>
      <c r="FG6">
        <f t="shared" ca="1" si="1"/>
        <v>1</v>
      </c>
      <c r="FH6">
        <f t="shared" ca="1" si="2"/>
        <v>1</v>
      </c>
      <c r="FI6">
        <f t="shared" ca="1" si="2"/>
        <v>2</v>
      </c>
      <c r="FJ6">
        <f t="shared" ca="1" si="2"/>
        <v>2</v>
      </c>
      <c r="FK6">
        <f t="shared" ca="1" si="2"/>
        <v>2</v>
      </c>
      <c r="FL6">
        <f t="shared" ca="1" si="2"/>
        <v>2</v>
      </c>
      <c r="FM6">
        <f t="shared" ca="1" si="2"/>
        <v>2</v>
      </c>
      <c r="FN6">
        <f t="shared" ca="1" si="2"/>
        <v>1</v>
      </c>
      <c r="FO6">
        <f t="shared" ca="1" si="2"/>
        <v>1</v>
      </c>
      <c r="FP6">
        <f t="shared" ca="1" si="2"/>
        <v>2</v>
      </c>
      <c r="FQ6">
        <f t="shared" ca="1" si="2"/>
        <v>2</v>
      </c>
      <c r="FR6">
        <f t="shared" ca="1" si="3"/>
        <v>2</v>
      </c>
      <c r="FS6">
        <f t="shared" ca="1" si="3"/>
        <v>2</v>
      </c>
      <c r="FT6">
        <f t="shared" ca="1" si="3"/>
        <v>2</v>
      </c>
      <c r="FU6">
        <f t="shared" ca="1" si="3"/>
        <v>1</v>
      </c>
      <c r="FV6">
        <f t="shared" ca="1" si="3"/>
        <v>2</v>
      </c>
      <c r="FW6">
        <f t="shared" ca="1" si="3"/>
        <v>1</v>
      </c>
      <c r="FX6">
        <f t="shared" ca="1" si="3"/>
        <v>2</v>
      </c>
      <c r="FY6">
        <f t="shared" ca="1" si="3"/>
        <v>2</v>
      </c>
      <c r="FZ6">
        <f t="shared" ca="1" si="3"/>
        <v>2</v>
      </c>
      <c r="GA6">
        <f t="shared" ca="1" si="3"/>
        <v>2</v>
      </c>
      <c r="GB6">
        <f t="shared" ca="1" si="4"/>
        <v>2</v>
      </c>
      <c r="GC6">
        <f t="shared" ca="1" si="4"/>
        <v>2</v>
      </c>
      <c r="GD6">
        <f t="shared" ca="1" si="4"/>
        <v>1</v>
      </c>
      <c r="GE6">
        <f t="shared" ca="1" si="4"/>
        <v>2</v>
      </c>
      <c r="GF6">
        <f t="shared" ca="1" si="4"/>
        <v>3</v>
      </c>
      <c r="GG6">
        <f t="shared" ca="1" si="4"/>
        <v>2</v>
      </c>
      <c r="GH6">
        <f t="shared" ca="1" si="4"/>
        <v>2</v>
      </c>
      <c r="GI6">
        <f t="shared" ca="1" si="4"/>
        <v>1</v>
      </c>
      <c r="GJ6">
        <f t="shared" ca="1" si="4"/>
        <v>1</v>
      </c>
      <c r="GK6">
        <f t="shared" ca="1" si="4"/>
        <v>39500</v>
      </c>
      <c r="GL6">
        <f t="shared" ca="1" si="4"/>
        <v>2</v>
      </c>
      <c r="GM6">
        <f t="shared" ca="1" si="4"/>
        <v>50</v>
      </c>
      <c r="GN6">
        <f t="shared" ca="1" si="4"/>
        <v>42.47</v>
      </c>
      <c r="GO6">
        <f t="shared" ca="1" si="4"/>
        <v>0</v>
      </c>
      <c r="GP6" s="335"/>
      <c r="GQ6" t="s">
        <v>388</v>
      </c>
      <c r="GR6">
        <v>45357</v>
      </c>
      <c r="GS6">
        <v>45328</v>
      </c>
      <c r="GT6">
        <v>3620</v>
      </c>
      <c r="GU6">
        <v>45357</v>
      </c>
      <c r="GV6">
        <v>3620</v>
      </c>
      <c r="GW6">
        <v>0.01</v>
      </c>
      <c r="GX6">
        <v>-34.9071</v>
      </c>
      <c r="GY6">
        <v>-56.199160999999997</v>
      </c>
      <c r="GZ6">
        <v>-34.907017000000003</v>
      </c>
      <c r="HA6">
        <v>-56.199171999999997</v>
      </c>
      <c r="HB6" t="e">
        <v>#REF!</v>
      </c>
      <c r="HC6">
        <v>1</v>
      </c>
      <c r="HD6">
        <v>4</v>
      </c>
      <c r="HE6">
        <v>1</v>
      </c>
      <c r="HF6">
        <v>2</v>
      </c>
      <c r="HG6">
        <v>2</v>
      </c>
      <c r="HH6">
        <v>2</v>
      </c>
      <c r="HI6">
        <v>2</v>
      </c>
      <c r="HJ6">
        <v>2</v>
      </c>
      <c r="HK6">
        <v>1</v>
      </c>
      <c r="HL6">
        <v>2</v>
      </c>
      <c r="HM6">
        <v>2</v>
      </c>
      <c r="HN6">
        <v>2</v>
      </c>
      <c r="HO6">
        <v>2</v>
      </c>
      <c r="HP6">
        <v>1</v>
      </c>
      <c r="HQ6">
        <v>2</v>
      </c>
      <c r="HR6">
        <v>2</v>
      </c>
      <c r="HS6">
        <v>1</v>
      </c>
      <c r="HT6">
        <v>1</v>
      </c>
      <c r="HU6">
        <v>2</v>
      </c>
      <c r="HV6">
        <v>2</v>
      </c>
      <c r="HW6">
        <v>2</v>
      </c>
      <c r="HX6">
        <v>2</v>
      </c>
      <c r="HY6">
        <v>2</v>
      </c>
      <c r="HZ6">
        <v>2</v>
      </c>
      <c r="IA6">
        <v>2</v>
      </c>
      <c r="IB6">
        <v>1</v>
      </c>
      <c r="IC6">
        <v>2</v>
      </c>
      <c r="ID6">
        <v>2</v>
      </c>
      <c r="IE6">
        <v>2</v>
      </c>
      <c r="IF6">
        <v>1</v>
      </c>
      <c r="IG6">
        <v>2</v>
      </c>
      <c r="IH6">
        <v>2</v>
      </c>
      <c r="II6">
        <v>1</v>
      </c>
      <c r="IJ6">
        <v>2</v>
      </c>
      <c r="IK6">
        <v>2</v>
      </c>
      <c r="IL6">
        <v>2</v>
      </c>
      <c r="IM6">
        <v>1</v>
      </c>
      <c r="IN6">
        <v>1</v>
      </c>
      <c r="IO6">
        <v>1</v>
      </c>
      <c r="IP6">
        <v>1874</v>
      </c>
      <c r="IQ6">
        <v>1</v>
      </c>
      <c r="IR6">
        <v>45</v>
      </c>
      <c r="IS6">
        <v>0</v>
      </c>
      <c r="IT6">
        <v>1</v>
      </c>
      <c r="IU6">
        <v>27</v>
      </c>
      <c r="IV6" t="s">
        <v>313</v>
      </c>
      <c r="IX6">
        <v>1.9089728669052337</v>
      </c>
      <c r="IY6">
        <v>0</v>
      </c>
      <c r="IZ6">
        <v>1.9089728669052337</v>
      </c>
      <c r="JA6">
        <v>12.486524268053728</v>
      </c>
      <c r="JB6">
        <v>5</v>
      </c>
    </row>
    <row r="7" spans="1:262" ht="22.8" x14ac:dyDescent="0.25">
      <c r="A7" s="334"/>
      <c r="B7">
        <v>6</v>
      </c>
      <c r="C7" t="s">
        <v>296</v>
      </c>
      <c r="D7">
        <v>14</v>
      </c>
      <c r="E7" s="142" t="s">
        <v>15</v>
      </c>
      <c r="F7">
        <f>'Upload spec'!G20</f>
        <v>2</v>
      </c>
      <c r="G7" s="143" t="s">
        <v>326</v>
      </c>
      <c r="H7" s="143" t="s">
        <v>274</v>
      </c>
      <c r="I7">
        <v>23</v>
      </c>
      <c r="J7" s="142" t="s">
        <v>40</v>
      </c>
      <c r="K7" s="232">
        <v>3</v>
      </c>
      <c r="L7" s="266" t="s">
        <v>186</v>
      </c>
      <c r="M7" s="143" t="s">
        <v>274</v>
      </c>
      <c r="N7" s="232">
        <v>15</v>
      </c>
      <c r="O7" s="267" t="s">
        <v>19</v>
      </c>
      <c r="P7" s="232">
        <f>'Upload spec'!G25</f>
        <v>1</v>
      </c>
      <c r="Q7" s="314" t="s">
        <v>151</v>
      </c>
      <c r="R7" s="335"/>
      <c r="W7" s="161" t="s">
        <v>330</v>
      </c>
      <c r="X7" s="196" t="b">
        <f t="shared" ref="X7:AE7" si="7">IF(SUM(X108:X111)=0,TRUE,IF(AND(X108&lt;&gt;"",X110&lt;&gt;""),IF(AND($V108&gt;=X108,$V110&lt;X110),TRUE,FALSE),IF(X108&lt;&gt;"",IF($V108&gt;=X108,TRUE,FALSE),IF(X111&lt;&gt;"",IF($V111&lt;=X111,TRUE,FALSE),IF(X109&lt;&gt;"",IF($V109&gt;X109,TRUE,FALSE),IF(AND(X109&lt;&gt;"",X111&lt;&gt;""),IF(AND($V109&gt;X109,$V111&lt;=X111),TRUE,FALSE)))))))</f>
        <v>1</v>
      </c>
      <c r="Y7" s="196" t="b">
        <f t="shared" si="7"/>
        <v>1</v>
      </c>
      <c r="Z7" s="196" t="b">
        <f t="shared" si="7"/>
        <v>1</v>
      </c>
      <c r="AA7" s="196" t="b">
        <f t="shared" si="7"/>
        <v>1</v>
      </c>
      <c r="AB7" s="196" t="b">
        <f t="shared" si="7"/>
        <v>1</v>
      </c>
      <c r="AC7" s="196" t="b">
        <f t="shared" si="7"/>
        <v>1</v>
      </c>
      <c r="AD7" s="196" t="b">
        <f t="shared" si="7"/>
        <v>1</v>
      </c>
      <c r="AE7" s="196" t="b">
        <f t="shared" si="7"/>
        <v>1</v>
      </c>
      <c r="AF7" s="196" t="b">
        <f t="shared" ref="AF7:BK7" si="8">IF(SUM(AF108:AF111)=0,TRUE,IF(AND(AF108&lt;&gt;"",AF110&lt;&gt;""),IF(AND($V108&gt;=AF108,$V110&lt;AF110),TRUE,FALSE),IF(AF108&lt;&gt;"",IF($V108&gt;=AF108,TRUE,FALSE),IF(AF111&lt;&gt;"",IF($V111&lt;=AF111,TRUE,FALSE),IF(AF109&lt;&gt;"",IF($V109&gt;AF109,TRUE,FALSE),IF(AND(AF109&lt;&gt;"",AF111&lt;&gt;""),IF(AND($V109&gt;AF109,$V111&lt;=AF111),TRUE,FALSE)))))))</f>
        <v>1</v>
      </c>
      <c r="AG7" s="196" t="b">
        <f t="shared" si="8"/>
        <v>1</v>
      </c>
      <c r="AH7" s="196" t="b">
        <f t="shared" si="8"/>
        <v>1</v>
      </c>
      <c r="AI7" s="196" t="b">
        <f t="shared" si="8"/>
        <v>1</v>
      </c>
      <c r="AJ7" s="196" t="b">
        <f t="shared" si="8"/>
        <v>1</v>
      </c>
      <c r="AK7" s="196" t="b">
        <f>IF(SUM(AK108:AK111)=0,TRUE,IF(AND(AK108&lt;&gt;"",AK110&lt;&gt;""),IF(AND($V108&gt;=AK108,$V110&lt;AK110),TRUE,FALSE),IF(AK108&lt;&gt;"",IF($V108&gt;=AK108,TRUE,FALSE),IF(AK111&lt;&gt;"",IF($V111&lt;=AK111,TRUE,FALSE),IF(AK109&lt;&gt;"",IF($V109&gt;AK109,TRUE,FALSE),IF(AND(AK109&lt;&gt;"",AK111&lt;&gt;""),IF(AND($V109&gt;AK109,$V111&lt;=AK111),TRUE,FALSE)))))))</f>
        <v>1</v>
      </c>
      <c r="AL7" s="196" t="b">
        <f>IF(SUM(AL108:AL111)=0,TRUE,IF(AND(AL108&lt;&gt;"",AL110&lt;&gt;""),IF(AND($V108&gt;=AL108,$V110&lt;AL110),TRUE,FALSE),IF(AL108&lt;&gt;"",IF($V108&gt;=AL108,TRUE,FALSE),IF(AL111&lt;&gt;"",IF($V111&lt;=AL111,TRUE,FALSE),IF(AL109&lt;&gt;"",IF($V109&gt;AL109,TRUE,FALSE),IF(AND(AL109&lt;&gt;"",AL111&lt;&gt;""),IF(AND($V109&gt;AL109,$V111&lt;=AL111),TRUE,FALSE)))))))</f>
        <v>1</v>
      </c>
      <c r="AM7" s="196" t="b">
        <f t="shared" si="8"/>
        <v>0</v>
      </c>
      <c r="AN7" s="196" t="b">
        <f>IF(SUM(AN108:AN111)=0,TRUE,IF(AND(AN108&lt;&gt;"",AN110&lt;&gt;""),IF(AND($V108&gt;=AN108,$V110&lt;AN110),TRUE,FALSE),IF(AN108&lt;&gt;"",IF($V108&gt;=AN108,TRUE,FALSE),IF(AN111&lt;&gt;"",IF($V111&lt;=AN111,TRUE,FALSE),IF(AN109&lt;&gt;"",IF($V109&gt;AN109,TRUE,FALSE),IF(AND(AN109&lt;&gt;"",AN111&lt;&gt;""),IF(AND($V109&gt;AN109,$V111&lt;=AN111),TRUE,FALSE)))))))</f>
        <v>0</v>
      </c>
      <c r="AO7" s="196" t="b">
        <f t="shared" si="8"/>
        <v>1</v>
      </c>
      <c r="AP7" s="196" t="b">
        <f t="shared" si="8"/>
        <v>1</v>
      </c>
      <c r="AQ7" s="196" t="b">
        <f t="shared" si="8"/>
        <v>1</v>
      </c>
      <c r="AR7" s="196" t="b">
        <f t="shared" si="8"/>
        <v>1</v>
      </c>
      <c r="AS7" s="196" t="b">
        <f t="shared" si="8"/>
        <v>1</v>
      </c>
      <c r="AT7" s="196" t="b">
        <f t="shared" si="8"/>
        <v>1</v>
      </c>
      <c r="AU7" s="196" t="b">
        <f t="shared" si="8"/>
        <v>1</v>
      </c>
      <c r="AV7" s="196" t="b">
        <f t="shared" si="8"/>
        <v>1</v>
      </c>
      <c r="AW7" s="196" t="b">
        <f t="shared" si="8"/>
        <v>1</v>
      </c>
      <c r="AX7" s="196" t="b">
        <f t="shared" si="8"/>
        <v>1</v>
      </c>
      <c r="AY7" s="196" t="b">
        <f t="shared" si="8"/>
        <v>1</v>
      </c>
      <c r="AZ7" s="196" t="b">
        <f t="shared" si="8"/>
        <v>1</v>
      </c>
      <c r="BA7" s="196" t="b">
        <f t="shared" si="8"/>
        <v>1</v>
      </c>
      <c r="BB7" s="196" t="b">
        <f t="shared" si="8"/>
        <v>1</v>
      </c>
      <c r="BC7" s="196" t="b">
        <f t="shared" si="8"/>
        <v>1</v>
      </c>
      <c r="BD7" s="196" t="b">
        <f t="shared" si="8"/>
        <v>1</v>
      </c>
      <c r="BE7" s="196" t="b">
        <f t="shared" si="8"/>
        <v>1</v>
      </c>
      <c r="BF7" s="196" t="b">
        <f t="shared" si="8"/>
        <v>1</v>
      </c>
      <c r="BG7" s="196" t="b">
        <f t="shared" si="8"/>
        <v>1</v>
      </c>
      <c r="BH7" s="196" t="b">
        <f t="shared" si="8"/>
        <v>1</v>
      </c>
      <c r="BI7" s="196" t="b">
        <f t="shared" si="8"/>
        <v>1</v>
      </c>
      <c r="BJ7" s="196" t="b">
        <f t="shared" si="8"/>
        <v>1</v>
      </c>
      <c r="BK7" s="196" t="b">
        <f t="shared" si="8"/>
        <v>1</v>
      </c>
      <c r="BL7" s="196" t="b">
        <f t="shared" ref="BL7:CQ7" si="9">IF(SUM(BL108:BL111)=0,TRUE,IF(AND(BL108&lt;&gt;"",BL110&lt;&gt;""),IF(AND($V108&gt;=BL108,$V110&lt;BL110),TRUE,FALSE),IF(BL108&lt;&gt;"",IF($V108&gt;=BL108,TRUE,FALSE),IF(BL111&lt;&gt;"",IF($V111&lt;=BL111,TRUE,FALSE),IF(BL109&lt;&gt;"",IF($V109&gt;BL109,TRUE,FALSE),IF(AND(BL109&lt;&gt;"",BL111&lt;&gt;""),IF(AND($V109&gt;BL109,$V111&lt;=BL111),TRUE,FALSE)))))))</f>
        <v>1</v>
      </c>
      <c r="BM7" s="196" t="b">
        <f t="shared" si="9"/>
        <v>1</v>
      </c>
      <c r="BN7" s="196" t="b">
        <f t="shared" si="9"/>
        <v>1</v>
      </c>
      <c r="BO7" s="196" t="b">
        <f t="shared" si="9"/>
        <v>1</v>
      </c>
      <c r="BP7" s="196" t="b">
        <f t="shared" si="9"/>
        <v>1</v>
      </c>
      <c r="BQ7" s="196" t="b">
        <f t="shared" si="9"/>
        <v>1</v>
      </c>
      <c r="BR7" s="196" t="b">
        <f t="shared" si="9"/>
        <v>1</v>
      </c>
      <c r="BS7" s="196" t="b">
        <f t="shared" si="9"/>
        <v>1</v>
      </c>
      <c r="BT7" s="196" t="b">
        <f t="shared" si="9"/>
        <v>1</v>
      </c>
      <c r="BU7" s="196" t="b">
        <f t="shared" si="9"/>
        <v>1</v>
      </c>
      <c r="BV7" s="196" t="b">
        <f t="shared" si="9"/>
        <v>1</v>
      </c>
      <c r="BW7" s="196" t="b">
        <f t="shared" si="9"/>
        <v>1</v>
      </c>
      <c r="BX7" s="196" t="b">
        <f t="shared" si="9"/>
        <v>1</v>
      </c>
      <c r="BY7" s="196" t="b">
        <f t="shared" si="9"/>
        <v>1</v>
      </c>
      <c r="BZ7" s="196" t="b">
        <f t="shared" si="9"/>
        <v>1</v>
      </c>
      <c r="CA7" s="196" t="b">
        <f t="shared" si="9"/>
        <v>1</v>
      </c>
      <c r="CB7" s="196" t="b">
        <f t="shared" si="9"/>
        <v>1</v>
      </c>
      <c r="CC7" s="196" t="b">
        <f t="shared" si="9"/>
        <v>1</v>
      </c>
      <c r="CD7" s="196" t="b">
        <f t="shared" si="9"/>
        <v>1</v>
      </c>
      <c r="CE7" s="196" t="b">
        <f t="shared" si="9"/>
        <v>1</v>
      </c>
      <c r="CF7" s="196" t="b">
        <f t="shared" si="9"/>
        <v>1</v>
      </c>
      <c r="CG7" s="196" t="b">
        <f t="shared" si="9"/>
        <v>1</v>
      </c>
      <c r="CH7" s="196" t="b">
        <f t="shared" si="9"/>
        <v>1</v>
      </c>
      <c r="CI7" s="196" t="b">
        <f t="shared" si="9"/>
        <v>1</v>
      </c>
      <c r="CJ7" s="196" t="b">
        <f t="shared" si="9"/>
        <v>1</v>
      </c>
      <c r="CK7" s="196" t="b">
        <f t="shared" si="9"/>
        <v>1</v>
      </c>
      <c r="CL7" s="196" t="b">
        <f t="shared" si="9"/>
        <v>1</v>
      </c>
      <c r="CM7" s="196" t="b">
        <f t="shared" si="9"/>
        <v>1</v>
      </c>
      <c r="CN7" s="196" t="b">
        <f t="shared" si="9"/>
        <v>1</v>
      </c>
      <c r="CO7" s="196" t="b">
        <f t="shared" si="9"/>
        <v>1</v>
      </c>
      <c r="CP7" s="196" t="b">
        <f t="shared" si="9"/>
        <v>1</v>
      </c>
      <c r="CQ7" s="196" t="b">
        <f t="shared" si="9"/>
        <v>1</v>
      </c>
      <c r="CR7" s="196" t="b">
        <f t="shared" ref="CR7:DL7" si="10">IF(SUM(CR108:CR111)=0,TRUE,IF(AND(CR108&lt;&gt;"",CR110&lt;&gt;""),IF(AND($V108&gt;=CR108,$V110&lt;CR110),TRUE,FALSE),IF(CR108&lt;&gt;"",IF($V108&gt;=CR108,TRUE,FALSE),IF(CR111&lt;&gt;"",IF($V111&lt;=CR111,TRUE,FALSE),IF(CR109&lt;&gt;"",IF($V109&gt;CR109,TRUE,FALSE),IF(AND(CR109&lt;&gt;"",CR111&lt;&gt;""),IF(AND($V109&gt;CR109,$V111&lt;=CR111),TRUE,FALSE)))))))</f>
        <v>1</v>
      </c>
      <c r="CS7" s="196" t="b">
        <f t="shared" si="10"/>
        <v>1</v>
      </c>
      <c r="CT7" s="196" t="b">
        <f t="shared" si="10"/>
        <v>1</v>
      </c>
      <c r="CU7" s="196" t="b">
        <f t="shared" si="10"/>
        <v>1</v>
      </c>
      <c r="CV7" s="196" t="b">
        <f t="shared" si="10"/>
        <v>1</v>
      </c>
      <c r="CW7" s="196" t="b">
        <f t="shared" si="10"/>
        <v>1</v>
      </c>
      <c r="CX7" s="196" t="b">
        <f t="shared" si="10"/>
        <v>1</v>
      </c>
      <c r="CY7" s="196" t="b">
        <f t="shared" si="10"/>
        <v>1</v>
      </c>
      <c r="CZ7" s="196" t="b">
        <f t="shared" si="10"/>
        <v>1</v>
      </c>
      <c r="DA7" s="196" t="b">
        <f t="shared" si="10"/>
        <v>1</v>
      </c>
      <c r="DB7" s="196" t="b">
        <f t="shared" si="10"/>
        <v>1</v>
      </c>
      <c r="DC7" s="196" t="b">
        <f t="shared" si="10"/>
        <v>1</v>
      </c>
      <c r="DD7" s="196" t="b">
        <f t="shared" si="10"/>
        <v>1</v>
      </c>
      <c r="DE7" s="196" t="b">
        <f t="shared" si="10"/>
        <v>1</v>
      </c>
      <c r="DF7" s="196" t="b">
        <f t="shared" si="10"/>
        <v>1</v>
      </c>
      <c r="DG7" s="196" t="b">
        <f t="shared" si="10"/>
        <v>1</v>
      </c>
      <c r="DH7" s="196" t="b">
        <f t="shared" si="10"/>
        <v>1</v>
      </c>
      <c r="DI7" s="196" t="b">
        <f t="shared" si="10"/>
        <v>1</v>
      </c>
      <c r="DJ7" s="196" t="b">
        <f t="shared" si="10"/>
        <v>1</v>
      </c>
      <c r="DK7" s="196" t="b">
        <f t="shared" si="10"/>
        <v>1</v>
      </c>
      <c r="DL7" s="196" t="b">
        <f t="shared" si="10"/>
        <v>1</v>
      </c>
      <c r="DM7" s="196" t="b">
        <f>IF(SUM(DM108:DM111)=0,TRUE,IF(AND(DM108&lt;&gt;"",DM110&lt;&gt;""),IF(AND($V108&gt;=DM108,$V110&lt;DM110),TRUE,FALSE),IF(DM108&lt;&gt;"",IF($V108&gt;=DM108,TRUE,FALSE),IF(DM111&lt;&gt;"",IF($V111&lt;=DM111,TRUE,FALSE),IF(DM109&lt;&gt;"",IF($V109&gt;DM109,TRUE,FALSE),IF(AND(DM109&lt;&gt;"",DM111&lt;&gt;""),IF(AND($V109&gt;DM109,$V111&lt;=DM111),TRUE,FALSE)))))))</f>
        <v>1</v>
      </c>
      <c r="DN7" s="196" t="b">
        <f>IF(SUM(DN108:DN111)=0,TRUE,IF(AND(DN108&lt;&gt;"",DN110&lt;&gt;""),IF(AND($V108&gt;=DN108,$V110&lt;DN110),TRUE,FALSE),IF(DN108&lt;&gt;"",IF($V108&gt;=DN108,TRUE,FALSE),IF(DN111&lt;&gt;"",IF($V111&lt;=DN111,TRUE,FALSE),IF(DN109&lt;&gt;"",IF($V109&gt;DN109,TRUE,FALSE),IF(AND(DN109&lt;&gt;"",DN111&lt;&gt;""),IF(AND($V109&gt;DN109,$V111&lt;=DN111),TRUE,FALSE)))))))</f>
        <v>1</v>
      </c>
      <c r="DO7" s="196" t="b">
        <f>IF(SUM(DO108:DO111)=0,TRUE,IF(AND(DO108&lt;&gt;"",DO110&lt;&gt;""),IF(AND($V108&gt;=DO108,$V110&lt;DO110),TRUE,FALSE),IF(DO108&lt;&gt;"",IF($V108&gt;=DO108,TRUE,FALSE),IF(DO111&lt;&gt;"",IF($V111&lt;=DO111,TRUE,FALSE),IF(DO109&lt;&gt;"",IF($V109&gt;DO109,TRUE,FALSE),IF(AND(DO109&lt;&gt;"",DO111&lt;&gt;""),IF(AND($V109&gt;DO109,$V111&lt;=DO111),TRUE,FALSE)))))))</f>
        <v>1</v>
      </c>
      <c r="DP7" s="196" t="b">
        <f>IF(SUM(DP108:DP111)=0,TRUE,IF(AND(DP108&lt;&gt;"",DP110&lt;&gt;""),IF(AND($V108&gt;=DP108,$V110&lt;DP110),TRUE,FALSE),IF(DP108&lt;&gt;"",IF($V108&gt;=DP108,TRUE,FALSE),IF(DP111&lt;&gt;"",IF($V111&lt;=DP111,TRUE,FALSE),IF(DP109&lt;&gt;"",IF($V109&gt;DP109,TRUE,FALSE),IF(AND(DP109&lt;&gt;"",DP111&lt;&gt;""),IF(AND($V109&gt;DP109,$V111&lt;=DP111),TRUE,FALSE)))))))</f>
        <v>1</v>
      </c>
      <c r="DQ7" s="196"/>
      <c r="DR7" s="196" t="b">
        <f t="shared" ref="DR7:DX7" si="11">IF(SUM(DR108:DR111)=0,TRUE,IF(AND(DR108&lt;&gt;"",DR110&lt;&gt;""),IF(AND($V108&gt;=DR108,$V110&lt;DR110),TRUE,FALSE),IF(DR108&lt;&gt;"",IF($V108&gt;=DR108,TRUE,FALSE),IF(DR111&lt;&gt;"",IF($V111&lt;=DR111,TRUE,FALSE),IF(DR109&lt;&gt;"",IF($V109&gt;DR109,TRUE,FALSE),IF(AND(DR109&lt;&gt;"",DR111&lt;&gt;""),IF(AND($V109&gt;DR109,$V111&lt;=DR111),TRUE,FALSE)))))))</f>
        <v>1</v>
      </c>
      <c r="DS7" s="196" t="b">
        <f t="shared" si="11"/>
        <v>1</v>
      </c>
      <c r="DT7" s="196" t="b">
        <f t="shared" si="11"/>
        <v>1</v>
      </c>
      <c r="DU7" s="196" t="b">
        <f t="shared" si="11"/>
        <v>1</v>
      </c>
      <c r="DV7" s="196" t="b">
        <f t="shared" si="11"/>
        <v>1</v>
      </c>
      <c r="DW7" s="196" t="b">
        <f t="shared" si="11"/>
        <v>1</v>
      </c>
      <c r="DX7" s="196" t="b">
        <f t="shared" si="11"/>
        <v>1</v>
      </c>
      <c r="DZ7" s="12"/>
      <c r="EA7" s="12"/>
      <c r="EB7" s="335"/>
      <c r="EC7">
        <v>6</v>
      </c>
      <c r="ED7" t="s">
        <v>296</v>
      </c>
      <c r="EE7" t="b" cm="1">
        <f t="array" ref="EE7">IF(SUMPRODUCT(--($EC7=$X$2:$DX$2),--($X$9:$DX$9))&gt;=1,TRUE,FALSE)</f>
        <v>0</v>
      </c>
      <c r="EF7" s="29" t="str">
        <f>'CycleRAP Model'!K8</f>
        <v>Distance</v>
      </c>
      <c r="EG7">
        <f>'CycleRAP Model'!O8</f>
        <v>4560</v>
      </c>
      <c r="EH7" s="335"/>
      <c r="EI7">
        <v>6</v>
      </c>
      <c r="EJ7" t="s">
        <v>296</v>
      </c>
      <c r="EK7" t="b">
        <f t="shared" si="5"/>
        <v>0</v>
      </c>
      <c r="EL7" t="str">
        <f t="shared" ca="1" si="0"/>
        <v>Gabriel G</v>
      </c>
      <c r="EM7">
        <f t="shared" ca="1" si="0"/>
        <v>45076</v>
      </c>
      <c r="EN7">
        <f t="shared" ca="1" si="0"/>
        <v>45076</v>
      </c>
      <c r="EO7" t="str">
        <f t="shared" ca="1" si="0"/>
        <v>F004560</v>
      </c>
      <c r="EP7" t="str">
        <f t="shared" ca="1" si="0"/>
        <v>Carrera 30</v>
      </c>
      <c r="EQ7">
        <f t="shared" ca="1" si="0"/>
        <v>4560</v>
      </c>
      <c r="ER7">
        <f t="shared" ca="1" si="0"/>
        <v>0.01</v>
      </c>
      <c r="ES7">
        <f t="shared" ca="1" si="0"/>
        <v>4.6501536000000003</v>
      </c>
      <c r="ET7">
        <f t="shared" ca="1" si="0"/>
        <v>-74.078029700000002</v>
      </c>
      <c r="EU7">
        <f t="shared" ca="1" si="0"/>
        <v>4.6502423000000004</v>
      </c>
      <c r="EV7">
        <f t="shared" ca="1" si="0"/>
        <v>-74.078021500000006</v>
      </c>
      <c r="EW7" t="e">
        <f t="shared" ca="1" si="0"/>
        <v>#REF!</v>
      </c>
      <c r="EX7">
        <f t="shared" ca="1" si="1"/>
        <v>2</v>
      </c>
      <c r="EY7">
        <f t="shared" ca="1" si="1"/>
        <v>3</v>
      </c>
      <c r="EZ7">
        <f t="shared" ca="1" si="1"/>
        <v>1</v>
      </c>
      <c r="FA7">
        <f t="shared" ca="1" si="1"/>
        <v>2</v>
      </c>
      <c r="FB7">
        <f t="shared" ca="1" si="1"/>
        <v>2</v>
      </c>
      <c r="FC7">
        <f t="shared" ca="1" si="1"/>
        <v>2</v>
      </c>
      <c r="FD7">
        <f t="shared" ca="1" si="1"/>
        <v>2</v>
      </c>
      <c r="FE7">
        <f t="shared" ca="1" si="1"/>
        <v>2</v>
      </c>
      <c r="FF7">
        <f t="shared" ca="1" si="1"/>
        <v>2</v>
      </c>
      <c r="FG7">
        <f t="shared" ca="1" si="1"/>
        <v>1</v>
      </c>
      <c r="FH7">
        <f t="shared" ca="1" si="2"/>
        <v>1</v>
      </c>
      <c r="FI7">
        <f t="shared" ca="1" si="2"/>
        <v>2</v>
      </c>
      <c r="FJ7">
        <f t="shared" ca="1" si="2"/>
        <v>2</v>
      </c>
      <c r="FK7">
        <f t="shared" ca="1" si="2"/>
        <v>2</v>
      </c>
      <c r="FL7">
        <f t="shared" ca="1" si="2"/>
        <v>2</v>
      </c>
      <c r="FM7">
        <f t="shared" ca="1" si="2"/>
        <v>2</v>
      </c>
      <c r="FN7">
        <f t="shared" ca="1" si="2"/>
        <v>1</v>
      </c>
      <c r="FO7">
        <f t="shared" ca="1" si="2"/>
        <v>1</v>
      </c>
      <c r="FP7">
        <f t="shared" ca="1" si="2"/>
        <v>2</v>
      </c>
      <c r="FQ7">
        <f t="shared" ca="1" si="2"/>
        <v>2</v>
      </c>
      <c r="FR7">
        <f t="shared" ca="1" si="3"/>
        <v>2</v>
      </c>
      <c r="FS7">
        <f t="shared" ca="1" si="3"/>
        <v>2</v>
      </c>
      <c r="FT7">
        <f t="shared" ca="1" si="3"/>
        <v>2</v>
      </c>
      <c r="FU7">
        <f t="shared" ca="1" si="3"/>
        <v>1</v>
      </c>
      <c r="FV7">
        <f t="shared" ca="1" si="3"/>
        <v>2</v>
      </c>
      <c r="FW7">
        <f t="shared" ca="1" si="3"/>
        <v>1</v>
      </c>
      <c r="FX7">
        <f t="shared" ca="1" si="3"/>
        <v>2</v>
      </c>
      <c r="FY7">
        <f t="shared" ca="1" si="3"/>
        <v>2</v>
      </c>
      <c r="FZ7">
        <f t="shared" ca="1" si="3"/>
        <v>2</v>
      </c>
      <c r="GA7">
        <f t="shared" ca="1" si="3"/>
        <v>2</v>
      </c>
      <c r="GB7">
        <f t="shared" ca="1" si="4"/>
        <v>2</v>
      </c>
      <c r="GC7">
        <f t="shared" ca="1" si="4"/>
        <v>2</v>
      </c>
      <c r="GD7">
        <f t="shared" ca="1" si="4"/>
        <v>1</v>
      </c>
      <c r="GE7">
        <f t="shared" ca="1" si="4"/>
        <v>2</v>
      </c>
      <c r="GF7">
        <f t="shared" ca="1" si="4"/>
        <v>3</v>
      </c>
      <c r="GG7">
        <f t="shared" ca="1" si="4"/>
        <v>2</v>
      </c>
      <c r="GH7">
        <f t="shared" ca="1" si="4"/>
        <v>2</v>
      </c>
      <c r="GI7">
        <f t="shared" ca="1" si="4"/>
        <v>1</v>
      </c>
      <c r="GJ7">
        <f t="shared" ca="1" si="4"/>
        <v>1</v>
      </c>
      <c r="GK7">
        <f t="shared" ca="1" si="4"/>
        <v>39500</v>
      </c>
      <c r="GL7">
        <f t="shared" ca="1" si="4"/>
        <v>2</v>
      </c>
      <c r="GM7">
        <f t="shared" ca="1" si="4"/>
        <v>50</v>
      </c>
      <c r="GN7">
        <f t="shared" ca="1" si="4"/>
        <v>42.47</v>
      </c>
      <c r="GO7">
        <f t="shared" ca="1" si="4"/>
        <v>0</v>
      </c>
      <c r="GP7" s="335"/>
    </row>
    <row r="8" spans="1:262" x14ac:dyDescent="0.25">
      <c r="A8" s="334"/>
      <c r="B8">
        <v>7</v>
      </c>
      <c r="C8" t="s">
        <v>297</v>
      </c>
      <c r="D8">
        <v>14</v>
      </c>
      <c r="E8" s="142" t="s">
        <v>15</v>
      </c>
      <c r="F8">
        <f>'Upload spec'!G21</f>
        <v>3</v>
      </c>
      <c r="G8" s="143" t="s">
        <v>328</v>
      </c>
      <c r="H8" s="143" t="s">
        <v>329</v>
      </c>
      <c r="I8" s="232">
        <v>15</v>
      </c>
      <c r="J8" s="267" t="s">
        <v>19</v>
      </c>
      <c r="K8" s="232">
        <f>'Upload spec'!G25</f>
        <v>1</v>
      </c>
      <c r="L8" s="314" t="s">
        <v>151</v>
      </c>
      <c r="R8" s="335"/>
      <c r="W8" s="161" t="s">
        <v>331</v>
      </c>
      <c r="X8" s="165" t="b">
        <f t="shared" ref="X8:AE8" si="12">IF(SUM(X115:X118)=0,TRUE,IF(AND(X115&lt;&gt;"",X117&lt;&gt;""),IF(AND($V115&gt;=X115,$V117&lt;X117),TRUE,FALSE),IF(X115&lt;&gt;"",IF($V115&gt;=X115,TRUE,FALSE),IF(X118&lt;&gt;"",IF($V118&lt;=X118,TRUE,FALSE),IF(X116&lt;&gt;"",IF($V116&gt;X116,TRUE,FALSE),IF(AND(X116&lt;&gt;"",X118&lt;&gt;""),IF(AND($V116&gt;X116,$V118&lt;=X118),TRUE,FALSE)))))))</f>
        <v>1</v>
      </c>
      <c r="Y8" s="165" t="b">
        <f t="shared" si="12"/>
        <v>1</v>
      </c>
      <c r="Z8" s="165" t="b">
        <f t="shared" si="12"/>
        <v>1</v>
      </c>
      <c r="AA8" s="165" t="b">
        <f t="shared" si="12"/>
        <v>1</v>
      </c>
      <c r="AB8" s="165" t="b">
        <f t="shared" si="12"/>
        <v>0</v>
      </c>
      <c r="AC8" s="165" t="b">
        <f t="shared" si="12"/>
        <v>0</v>
      </c>
      <c r="AD8" s="165" t="b">
        <f t="shared" si="12"/>
        <v>0</v>
      </c>
      <c r="AE8" s="165" t="b">
        <f t="shared" si="12"/>
        <v>0</v>
      </c>
      <c r="AF8" s="165" t="b">
        <f t="shared" ref="AF8:BK8" si="13">IF(SUM(AF115:AF118)=0,TRUE,IF(AND(AF115&lt;&gt;"",AF117&lt;&gt;""),IF(AND($V115&gt;=AF115,$V117&lt;AF117),TRUE,FALSE),IF(AF115&lt;&gt;"",IF($V115&gt;=AF115,TRUE,FALSE),IF(AF118&lt;&gt;"",IF($V118&lt;=AF118,TRUE,FALSE),IF(AF116&lt;&gt;"",IF($V116&gt;AF116,TRUE,FALSE),IF(AND(AF116&lt;&gt;"",AF118&lt;&gt;""),IF(AND($V116&gt;AF116,$V118&lt;=AF118),TRUE,FALSE)))))))</f>
        <v>1</v>
      </c>
      <c r="AG8" s="165" t="b">
        <f t="shared" si="13"/>
        <v>1</v>
      </c>
      <c r="AH8" s="165" t="b">
        <f t="shared" si="13"/>
        <v>0</v>
      </c>
      <c r="AI8" s="165" t="b">
        <f t="shared" si="13"/>
        <v>0</v>
      </c>
      <c r="AJ8" s="165" t="b">
        <f t="shared" si="13"/>
        <v>1</v>
      </c>
      <c r="AK8" s="165" t="b">
        <f>IF(SUM(AK115:AK118)=0,TRUE,IF(AND(AK115&lt;&gt;"",AK117&lt;&gt;""),IF(AND($V115&gt;=AK115,$V117&lt;AK117),TRUE,FALSE),IF(AK115&lt;&gt;"",IF($V115&gt;=AK115,TRUE,FALSE),IF(AK118&lt;&gt;"",IF($V118&lt;=AK118,TRUE,FALSE),IF(AK116&lt;&gt;"",IF($V116&gt;AK116,TRUE,FALSE),IF(AND(AK116&lt;&gt;"",AK118&lt;&gt;""),IF(AND($V116&gt;AK116,$V118&lt;=AK118),TRUE,FALSE)))))))</f>
        <v>0</v>
      </c>
      <c r="AL8" s="165" t="b">
        <f>IF(SUM(AL115:AL118)=0,TRUE,IF(AND(AL115&lt;&gt;"",AL117&lt;&gt;""),IF(AND($V115&gt;=AL115,$V117&lt;AL117),TRUE,FALSE),IF(AL115&lt;&gt;"",IF($V115&gt;=AL115,TRUE,FALSE),IF(AL118&lt;&gt;"",IF($V118&lt;=AL118,TRUE,FALSE),IF(AL116&lt;&gt;"",IF($V116&gt;AL116,TRUE,FALSE),IF(AND(AL116&lt;&gt;"",AL118&lt;&gt;""),IF(AND($V116&gt;AL116,$V118&lt;=AL118),TRUE,FALSE)))))))</f>
        <v>0</v>
      </c>
      <c r="AM8" s="165" t="b">
        <f t="shared" si="13"/>
        <v>0</v>
      </c>
      <c r="AN8" s="165" t="b">
        <f>IF(SUM(AN115:AN118)=0,TRUE,IF(AND(AN115&lt;&gt;"",AN117&lt;&gt;""),IF(AND($V115&gt;=AN115,$V117&lt;AN117),TRUE,FALSE),IF(AN115&lt;&gt;"",IF($V115&gt;=AN115,TRUE,FALSE),IF(AN118&lt;&gt;"",IF($V118&lt;=AN118,TRUE,FALSE),IF(AN116&lt;&gt;"",IF($V116&gt;AN116,TRUE,FALSE),IF(AND(AN116&lt;&gt;"",AN118&lt;&gt;""),IF(AND($V116&gt;AN116,$V118&lt;=AN118),TRUE,FALSE)))))))</f>
        <v>0</v>
      </c>
      <c r="AO8" s="165" t="b">
        <f t="shared" si="13"/>
        <v>1</v>
      </c>
      <c r="AP8" s="165" t="b">
        <f t="shared" si="13"/>
        <v>0</v>
      </c>
      <c r="AQ8" s="165" t="b">
        <f t="shared" si="13"/>
        <v>0</v>
      </c>
      <c r="AR8" s="165" t="b">
        <f t="shared" si="13"/>
        <v>0</v>
      </c>
      <c r="AS8" s="165" t="b">
        <f t="shared" si="13"/>
        <v>1</v>
      </c>
      <c r="AT8" s="165" t="b">
        <f t="shared" si="13"/>
        <v>1</v>
      </c>
      <c r="AU8" s="165" t="b">
        <f t="shared" si="13"/>
        <v>1</v>
      </c>
      <c r="AV8" s="183" t="b">
        <f t="shared" si="13"/>
        <v>1</v>
      </c>
      <c r="AW8" s="196" t="b">
        <f t="shared" si="13"/>
        <v>1</v>
      </c>
      <c r="AX8" s="196" t="b">
        <f t="shared" si="13"/>
        <v>1</v>
      </c>
      <c r="AY8" s="196" t="b">
        <f t="shared" si="13"/>
        <v>1</v>
      </c>
      <c r="AZ8" s="196" t="b">
        <f t="shared" si="13"/>
        <v>1</v>
      </c>
      <c r="BA8" s="196" t="b">
        <f t="shared" si="13"/>
        <v>1</v>
      </c>
      <c r="BB8" s="196" t="b">
        <f t="shared" si="13"/>
        <v>1</v>
      </c>
      <c r="BC8" s="196" t="b">
        <f t="shared" si="13"/>
        <v>1</v>
      </c>
      <c r="BD8" s="196" t="b">
        <f t="shared" si="13"/>
        <v>1</v>
      </c>
      <c r="BE8" s="196" t="b">
        <f t="shared" si="13"/>
        <v>1</v>
      </c>
      <c r="BF8" s="196" t="b">
        <f t="shared" si="13"/>
        <v>1</v>
      </c>
      <c r="BG8" s="196" t="b">
        <f t="shared" si="13"/>
        <v>0</v>
      </c>
      <c r="BH8" s="196" t="b">
        <f t="shared" si="13"/>
        <v>1</v>
      </c>
      <c r="BI8" s="196" t="b">
        <f t="shared" si="13"/>
        <v>1</v>
      </c>
      <c r="BJ8" s="196" t="b">
        <f t="shared" si="13"/>
        <v>1</v>
      </c>
      <c r="BK8" s="196" t="b">
        <f t="shared" si="13"/>
        <v>1</v>
      </c>
      <c r="BL8" s="196" t="b">
        <f t="shared" ref="BL8:CQ8" si="14">IF(SUM(BL115:BL118)=0,TRUE,IF(AND(BL115&lt;&gt;"",BL117&lt;&gt;""),IF(AND($V115&gt;=BL115,$V117&lt;BL117),TRUE,FALSE),IF(BL115&lt;&gt;"",IF($V115&gt;=BL115,TRUE,FALSE),IF(BL118&lt;&gt;"",IF($V118&lt;=BL118,TRUE,FALSE),IF(BL116&lt;&gt;"",IF($V116&gt;BL116,TRUE,FALSE),IF(AND(BL116&lt;&gt;"",BL118&lt;&gt;""),IF(AND($V116&gt;BL116,$V118&lt;=BL118),TRUE,FALSE)))))))</f>
        <v>1</v>
      </c>
      <c r="BM8" s="196" t="b">
        <f t="shared" si="14"/>
        <v>1</v>
      </c>
      <c r="BN8" s="196" t="b">
        <f t="shared" si="14"/>
        <v>1</v>
      </c>
      <c r="BO8" s="196" t="b">
        <f t="shared" si="14"/>
        <v>1</v>
      </c>
      <c r="BP8" s="196" t="b">
        <f t="shared" si="14"/>
        <v>1</v>
      </c>
      <c r="BQ8" s="196" t="b">
        <f t="shared" si="14"/>
        <v>1</v>
      </c>
      <c r="BR8" s="196" t="b">
        <f t="shared" si="14"/>
        <v>1</v>
      </c>
      <c r="BS8" s="196" t="b">
        <f t="shared" si="14"/>
        <v>1</v>
      </c>
      <c r="BT8" s="196" t="b">
        <f t="shared" si="14"/>
        <v>1</v>
      </c>
      <c r="BU8" s="196" t="b">
        <f t="shared" si="14"/>
        <v>1</v>
      </c>
      <c r="BV8" s="196" t="b">
        <f t="shared" si="14"/>
        <v>1</v>
      </c>
      <c r="BW8" s="196" t="b">
        <f t="shared" si="14"/>
        <v>1</v>
      </c>
      <c r="BX8" s="196" t="b">
        <f t="shared" si="14"/>
        <v>1</v>
      </c>
      <c r="BY8" s="196" t="b">
        <f t="shared" si="14"/>
        <v>1</v>
      </c>
      <c r="BZ8" s="196" t="b">
        <f t="shared" si="14"/>
        <v>1</v>
      </c>
      <c r="CA8" s="196" t="b">
        <f t="shared" si="14"/>
        <v>1</v>
      </c>
      <c r="CB8" s="196" t="b">
        <f t="shared" si="14"/>
        <v>1</v>
      </c>
      <c r="CC8" s="196" t="b">
        <f t="shared" si="14"/>
        <v>1</v>
      </c>
      <c r="CD8" s="196" t="b">
        <f t="shared" si="14"/>
        <v>1</v>
      </c>
      <c r="CE8" s="196" t="b">
        <f t="shared" si="14"/>
        <v>1</v>
      </c>
      <c r="CF8" s="196" t="b">
        <f t="shared" si="14"/>
        <v>1</v>
      </c>
      <c r="CG8" s="196" t="b">
        <f t="shared" si="14"/>
        <v>1</v>
      </c>
      <c r="CH8" s="196" t="b">
        <f t="shared" si="14"/>
        <v>1</v>
      </c>
      <c r="CI8" s="196" t="b">
        <f t="shared" si="14"/>
        <v>1</v>
      </c>
      <c r="CJ8" s="196" t="b">
        <f t="shared" si="14"/>
        <v>1</v>
      </c>
      <c r="CK8" s="196" t="b">
        <f t="shared" si="14"/>
        <v>1</v>
      </c>
      <c r="CL8" s="196" t="b">
        <f t="shared" si="14"/>
        <v>1</v>
      </c>
      <c r="CM8" s="196" t="b">
        <f t="shared" si="14"/>
        <v>1</v>
      </c>
      <c r="CN8" s="196" t="b">
        <f t="shared" si="14"/>
        <v>1</v>
      </c>
      <c r="CO8" s="196" t="b">
        <f t="shared" si="14"/>
        <v>1</v>
      </c>
      <c r="CP8" s="196" t="b">
        <f t="shared" si="14"/>
        <v>1</v>
      </c>
      <c r="CQ8" s="196" t="b">
        <f t="shared" si="14"/>
        <v>1</v>
      </c>
      <c r="CR8" s="196" t="b">
        <f t="shared" ref="CR8:DH8" si="15">IF(SUM(CR115:CR118)=0,TRUE,IF(AND(CR115&lt;&gt;"",CR117&lt;&gt;""),IF(AND($V115&gt;=CR115,$V117&lt;CR117),TRUE,FALSE),IF(CR115&lt;&gt;"",IF($V115&gt;=CR115,TRUE,FALSE),IF(CR118&lt;&gt;"",IF($V118&lt;=CR118,TRUE,FALSE),IF(CR116&lt;&gt;"",IF($V116&gt;CR116,TRUE,FALSE),IF(AND(CR116&lt;&gt;"",CR118&lt;&gt;""),IF(AND($V116&gt;CR116,$V118&lt;=CR118),TRUE,FALSE)))))))</f>
        <v>1</v>
      </c>
      <c r="CS8" s="196" t="b">
        <f t="shared" si="15"/>
        <v>1</v>
      </c>
      <c r="CT8" s="196" t="b">
        <f t="shared" si="15"/>
        <v>1</v>
      </c>
      <c r="CU8" s="196" t="b">
        <f t="shared" si="15"/>
        <v>1</v>
      </c>
      <c r="CV8" s="196" t="b">
        <f t="shared" si="15"/>
        <v>1</v>
      </c>
      <c r="CW8" s="196" t="b">
        <f t="shared" si="15"/>
        <v>1</v>
      </c>
      <c r="CX8" s="196" t="b">
        <f t="shared" si="15"/>
        <v>1</v>
      </c>
      <c r="CY8" s="196" t="b">
        <f t="shared" si="15"/>
        <v>1</v>
      </c>
      <c r="CZ8" s="196" t="b">
        <f t="shared" si="15"/>
        <v>1</v>
      </c>
      <c r="DA8" s="196" t="b">
        <f t="shared" si="15"/>
        <v>0</v>
      </c>
      <c r="DB8" s="196" t="b">
        <f t="shared" si="15"/>
        <v>0</v>
      </c>
      <c r="DC8" s="196" t="b">
        <f t="shared" si="15"/>
        <v>1</v>
      </c>
      <c r="DD8" s="196" t="b">
        <f t="shared" si="15"/>
        <v>1</v>
      </c>
      <c r="DE8" s="196" t="b">
        <f t="shared" si="15"/>
        <v>1</v>
      </c>
      <c r="DF8" s="196" t="b">
        <f t="shared" si="15"/>
        <v>1</v>
      </c>
      <c r="DG8" s="196" t="b">
        <f t="shared" si="15"/>
        <v>1</v>
      </c>
      <c r="DH8" s="196" t="b">
        <f t="shared" si="15"/>
        <v>1</v>
      </c>
      <c r="DI8" s="196" t="b">
        <f>IF(SUM(DI116:DI118)=0,TRUE,IF(AND(DI116&lt;&gt;"",DI117&lt;&gt;""),IF(AND($V115&gt;=DI116,$V117&lt;DI117),TRUE,FALSE),IF(DI116&lt;&gt;"",IF($V115&gt;=DI116,TRUE,FALSE),IF(DI118&lt;&gt;"",IF($V118&lt;=DI118,TRUE,FALSE),IF(#REF!&lt;&gt;"",IF($V116&gt;#REF!,TRUE,FALSE),IF(AND(#REF!&lt;&gt;"",DI118&lt;&gt;""),IF(AND($V116&gt;#REF!,$V118&lt;=DI118),TRUE,FALSE)))))))</f>
        <v>1</v>
      </c>
      <c r="DJ8" s="196" t="b">
        <f>IF(SUM(DJ116:DJ118)=0,TRUE,IF(AND(DJ116&lt;&gt;"",DJ117&lt;&gt;""),IF(AND($V115&gt;=DJ116,$V117&lt;DJ117),TRUE,FALSE),IF(DJ116&lt;&gt;"",IF($V115&gt;=DJ116,TRUE,FALSE),IF(DJ118&lt;&gt;"",IF($V118&lt;=DJ118,TRUE,FALSE),IF(#REF!&lt;&gt;"",IF($V116&gt;#REF!,TRUE,FALSE),IF(AND(#REF!&lt;&gt;"",DJ118&lt;&gt;""),IF(AND($V116&gt;#REF!,$V118&lt;=DJ118),TRUE,FALSE)))))))</f>
        <v>1</v>
      </c>
      <c r="DK8" s="196" t="b">
        <f>IF(SUM(DK116:DK118)=0,TRUE,IF(AND(DK116&lt;&gt;"",DK117&lt;&gt;""),IF(AND($V115&gt;=DK116,$V117&lt;DK117),TRUE,FALSE),IF(DK116&lt;&gt;"",IF($V115&gt;=DK116,TRUE,FALSE),IF(DK118&lt;&gt;"",IF($V118&lt;=DK118,TRUE,FALSE),IF(#REF!&lt;&gt;"",IF($V116&gt;#REF!,TRUE,FALSE),IF(AND(#REF!&lt;&gt;"",DK118&lt;&gt;""),IF(AND($V116&gt;#REF!,$V118&lt;=DK118),TRUE,FALSE)))))))</f>
        <v>1</v>
      </c>
      <c r="DL8" s="196" t="b">
        <f>IF(SUM(DL116:DL118)=0,TRUE,IF(AND(DL116&lt;&gt;"",DL117&lt;&gt;""),IF(AND($V115&gt;=DL116,$V117&lt;DL117),TRUE,FALSE),IF(DL116&lt;&gt;"",IF($V115&gt;=DL116,TRUE,FALSE),IF(DL118&lt;&gt;"",IF($V118&lt;=DL118,TRUE,FALSE),IF(#REF!&lt;&gt;"",IF($V116&gt;#REF!,TRUE,FALSE),IF(AND(#REF!&lt;&gt;"",DL118&lt;&gt;""),IF(AND($V116&gt;#REF!,$V118&lt;=DL118),TRUE,FALSE)))))))</f>
        <v>1</v>
      </c>
      <c r="DM8" s="196" t="b">
        <f>IF(SUM(DM116:DM118)=0,TRUE,IF(AND(DM116&lt;&gt;"",DM117&lt;&gt;""),IF(AND($V115&gt;=DM116,$V117&lt;DM117),TRUE,FALSE),IF(DM116&lt;&gt;"",IF($V115&gt;=DM116,TRUE,FALSE),IF(DM118&lt;&gt;"",IF($V118&lt;=DM118,TRUE,FALSE),IF(#REF!&lt;&gt;"",IF($V116&gt;#REF!,TRUE,FALSE),IF(AND(#REF!&lt;&gt;"",DM118&lt;&gt;""),IF(AND($V116&gt;#REF!,$V118&lt;=DM118),TRUE,FALSE)))))))</f>
        <v>0</v>
      </c>
      <c r="DN8" s="196" t="b">
        <f>IF(SUM(DN116:DN118)=0,TRUE,IF(AND(DN116&lt;&gt;"",DN117&lt;&gt;""),IF(AND($V115&gt;=DN116,$V117&lt;DN117),TRUE,FALSE),IF(DN116&lt;&gt;"",IF($V115&gt;=DN116,TRUE,FALSE),IF(DN118&lt;&gt;"",IF($V118&lt;=DN118,TRUE,FALSE),IF(#REF!&lt;&gt;"",IF($V116&gt;#REF!,TRUE,FALSE),IF(AND(#REF!&lt;&gt;"",DN118&lt;&gt;""),IF(AND($V116&gt;#REF!,$V118&lt;=DN118),TRUE,FALSE)))))))</f>
        <v>0</v>
      </c>
      <c r="DO8" s="196" t="b">
        <f>IF(SUM(DO116:DO118)=0,TRUE,IF(AND(DO116&lt;&gt;"",DO117&lt;&gt;""),IF(AND($V115&gt;=DO116,$V117&lt;DO117),TRUE,FALSE),IF(DO116&lt;&gt;"",IF($V115&gt;=DO116,TRUE,FALSE),IF(DO118&lt;&gt;"",IF($V118&lt;=DO118,TRUE,FALSE),IF(#REF!&lt;&gt;"",IF($V116&gt;#REF!,TRUE,FALSE),IF(AND(#REF!&lt;&gt;"",DO118&lt;&gt;""),IF(AND($V116&gt;#REF!,$V118&lt;=DO118),TRUE,FALSE)))))))</f>
        <v>0</v>
      </c>
      <c r="DP8" s="196" t="b">
        <f>IF(SUM(DP116:DP118)=0,TRUE,IF(AND(DP116&lt;&gt;"",DP117&lt;&gt;""),IF(AND($V115&gt;=DP116,$V117&lt;DP117),TRUE,FALSE),IF(DP116&lt;&gt;"",IF($V115&gt;=DP116,TRUE,FALSE),IF(DP118&lt;&gt;"",IF($V118&lt;=DP118,TRUE,FALSE),IF(#REF!&lt;&gt;"",IF($V116&gt;#REF!,TRUE,FALSE),IF(AND(#REF!&lt;&gt;"",DP118&lt;&gt;""),IF(AND($V116&gt;#REF!,$V118&lt;=DP118),TRUE,FALSE)))))))</f>
        <v>0</v>
      </c>
      <c r="DQ8" s="196"/>
      <c r="DR8" s="196" t="b">
        <f t="shared" ref="DR8:DX8" si="16">IF(SUM(DR115:DR118)=0,TRUE,IF(AND(DR115&lt;&gt;"",DR117&lt;&gt;""),IF(AND($V115&gt;=DR115,$V117&lt;DR117),TRUE,FALSE),IF(DR115&lt;&gt;"",IF($V115&gt;=DR115,TRUE,FALSE),IF(DR118&lt;&gt;"",IF($V118&lt;=DR118,TRUE,FALSE),IF(DR116&lt;&gt;"",IF($V116&gt;DR116,TRUE,FALSE),IF(AND(DR116&lt;&gt;"",DR118&lt;&gt;""),IF(AND($V116&gt;DR116,$V118&lt;=DR118),TRUE,FALSE)))))))</f>
        <v>1</v>
      </c>
      <c r="DS8" s="196" t="b">
        <f t="shared" si="16"/>
        <v>1</v>
      </c>
      <c r="DT8" s="196" t="b">
        <f t="shared" si="16"/>
        <v>1</v>
      </c>
      <c r="DU8" s="196" t="b">
        <f t="shared" si="16"/>
        <v>1</v>
      </c>
      <c r="DV8" s="196" t="b">
        <f t="shared" si="16"/>
        <v>1</v>
      </c>
      <c r="DW8" s="196" t="b">
        <f t="shared" si="16"/>
        <v>1</v>
      </c>
      <c r="DX8" s="196" t="b">
        <f t="shared" si="16"/>
        <v>1</v>
      </c>
      <c r="DZ8" s="12"/>
      <c r="EA8" s="12"/>
      <c r="EB8" s="335"/>
      <c r="EC8">
        <v>7</v>
      </c>
      <c r="ED8" t="s">
        <v>297</v>
      </c>
      <c r="EE8" t="b" cm="1">
        <f t="array" ref="EE8">IF(SUMPRODUCT(--($EC8=$X$2:$DX$2),--($X$9:$DX$9))&gt;=1,TRUE,FALSE)</f>
        <v>0</v>
      </c>
      <c r="EF8" s="29" t="str">
        <f>'CycleRAP Model'!K9</f>
        <v>Length</v>
      </c>
      <c r="EG8">
        <f>'CycleRAP Model'!O9</f>
        <v>0.01</v>
      </c>
      <c r="EH8" s="335"/>
      <c r="EI8">
        <v>7</v>
      </c>
      <c r="EJ8" t="s">
        <v>297</v>
      </c>
      <c r="EK8" t="b">
        <f t="shared" si="5"/>
        <v>0</v>
      </c>
      <c r="EL8" t="str">
        <f t="shared" ca="1" si="0"/>
        <v>Gabriel G</v>
      </c>
      <c r="EM8">
        <f t="shared" ca="1" si="0"/>
        <v>45076</v>
      </c>
      <c r="EN8">
        <f t="shared" ca="1" si="0"/>
        <v>45076</v>
      </c>
      <c r="EO8" t="str">
        <f t="shared" ca="1" si="0"/>
        <v>F004560</v>
      </c>
      <c r="EP8" t="str">
        <f t="shared" ca="1" si="0"/>
        <v>Carrera 30</v>
      </c>
      <c r="EQ8">
        <f t="shared" ca="1" si="0"/>
        <v>4560</v>
      </c>
      <c r="ER8">
        <f t="shared" ca="1" si="0"/>
        <v>0.01</v>
      </c>
      <c r="ES8">
        <f t="shared" ca="1" si="0"/>
        <v>4.6501536000000003</v>
      </c>
      <c r="ET8">
        <f t="shared" ca="1" si="0"/>
        <v>-74.078029700000002</v>
      </c>
      <c r="EU8">
        <f t="shared" ca="1" si="0"/>
        <v>4.6502423000000004</v>
      </c>
      <c r="EV8">
        <f t="shared" ca="1" si="0"/>
        <v>-74.078021500000006</v>
      </c>
      <c r="EW8" t="e">
        <f t="shared" ca="1" si="0"/>
        <v>#REF!</v>
      </c>
      <c r="EX8">
        <f t="shared" ca="1" si="1"/>
        <v>2</v>
      </c>
      <c r="EY8">
        <f t="shared" ca="1" si="1"/>
        <v>3</v>
      </c>
      <c r="EZ8">
        <f t="shared" ca="1" si="1"/>
        <v>1</v>
      </c>
      <c r="FA8">
        <f t="shared" ca="1" si="1"/>
        <v>2</v>
      </c>
      <c r="FB8">
        <f t="shared" ca="1" si="1"/>
        <v>2</v>
      </c>
      <c r="FC8">
        <f t="shared" ca="1" si="1"/>
        <v>2</v>
      </c>
      <c r="FD8">
        <f t="shared" ca="1" si="1"/>
        <v>2</v>
      </c>
      <c r="FE8">
        <f t="shared" ca="1" si="1"/>
        <v>2</v>
      </c>
      <c r="FF8">
        <f t="shared" ca="1" si="1"/>
        <v>2</v>
      </c>
      <c r="FG8">
        <f t="shared" ca="1" si="1"/>
        <v>1</v>
      </c>
      <c r="FH8">
        <f t="shared" ca="1" si="2"/>
        <v>1</v>
      </c>
      <c r="FI8">
        <f t="shared" ca="1" si="2"/>
        <v>2</v>
      </c>
      <c r="FJ8">
        <f t="shared" ca="1" si="2"/>
        <v>2</v>
      </c>
      <c r="FK8">
        <f t="shared" ca="1" si="2"/>
        <v>2</v>
      </c>
      <c r="FL8">
        <f t="shared" ca="1" si="2"/>
        <v>2</v>
      </c>
      <c r="FM8">
        <f t="shared" ca="1" si="2"/>
        <v>2</v>
      </c>
      <c r="FN8">
        <f t="shared" ca="1" si="2"/>
        <v>1</v>
      </c>
      <c r="FO8">
        <f t="shared" ca="1" si="2"/>
        <v>1</v>
      </c>
      <c r="FP8">
        <f t="shared" ca="1" si="2"/>
        <v>2</v>
      </c>
      <c r="FQ8">
        <f t="shared" ca="1" si="2"/>
        <v>2</v>
      </c>
      <c r="FR8">
        <f t="shared" ca="1" si="3"/>
        <v>2</v>
      </c>
      <c r="FS8">
        <f t="shared" ca="1" si="3"/>
        <v>2</v>
      </c>
      <c r="FT8">
        <f t="shared" ca="1" si="3"/>
        <v>2</v>
      </c>
      <c r="FU8">
        <f t="shared" ca="1" si="3"/>
        <v>1</v>
      </c>
      <c r="FV8">
        <f t="shared" ca="1" si="3"/>
        <v>2</v>
      </c>
      <c r="FW8">
        <f t="shared" ca="1" si="3"/>
        <v>1</v>
      </c>
      <c r="FX8">
        <f t="shared" ca="1" si="3"/>
        <v>2</v>
      </c>
      <c r="FY8">
        <f t="shared" ca="1" si="3"/>
        <v>2</v>
      </c>
      <c r="FZ8">
        <f t="shared" ca="1" si="3"/>
        <v>2</v>
      </c>
      <c r="GA8">
        <f t="shared" ca="1" si="3"/>
        <v>2</v>
      </c>
      <c r="GB8">
        <f t="shared" ca="1" si="4"/>
        <v>2</v>
      </c>
      <c r="GC8">
        <f t="shared" ca="1" si="4"/>
        <v>2</v>
      </c>
      <c r="GD8">
        <f t="shared" ca="1" si="4"/>
        <v>1</v>
      </c>
      <c r="GE8">
        <f t="shared" ca="1" si="4"/>
        <v>2</v>
      </c>
      <c r="GF8">
        <f t="shared" ca="1" si="4"/>
        <v>3</v>
      </c>
      <c r="GG8">
        <f t="shared" ca="1" si="4"/>
        <v>2</v>
      </c>
      <c r="GH8">
        <f t="shared" ca="1" si="4"/>
        <v>2</v>
      </c>
      <c r="GI8">
        <f t="shared" ca="1" si="4"/>
        <v>1</v>
      </c>
      <c r="GJ8">
        <f t="shared" ca="1" si="4"/>
        <v>1</v>
      </c>
      <c r="GK8">
        <f t="shared" ca="1" si="4"/>
        <v>39500</v>
      </c>
      <c r="GL8">
        <f t="shared" ca="1" si="4"/>
        <v>2</v>
      </c>
      <c r="GM8">
        <f t="shared" ca="1" si="4"/>
        <v>50</v>
      </c>
      <c r="GN8">
        <f t="shared" ca="1" si="4"/>
        <v>42.47</v>
      </c>
      <c r="GO8">
        <f t="shared" ca="1" si="4"/>
        <v>0</v>
      </c>
      <c r="GP8" s="335"/>
    </row>
    <row r="9" spans="1:262" x14ac:dyDescent="0.25">
      <c r="A9" s="334"/>
      <c r="B9">
        <v>8</v>
      </c>
      <c r="C9" t="s">
        <v>298</v>
      </c>
      <c r="D9">
        <v>24</v>
      </c>
      <c r="E9" s="142" t="s">
        <v>43</v>
      </c>
      <c r="F9">
        <f>'Upload spec'!G44</f>
        <v>1</v>
      </c>
      <c r="G9" s="143" t="s">
        <v>187</v>
      </c>
      <c r="H9" s="143" t="s">
        <v>274</v>
      </c>
      <c r="I9" s="232">
        <v>15</v>
      </c>
      <c r="J9" s="267" t="s">
        <v>19</v>
      </c>
      <c r="K9" s="232">
        <f>'Upload spec'!G25</f>
        <v>1</v>
      </c>
      <c r="L9" s="314" t="s">
        <v>151</v>
      </c>
      <c r="R9" s="335"/>
      <c r="S9" s="156" t="s">
        <v>113</v>
      </c>
      <c r="T9" s="156" t="s">
        <v>332</v>
      </c>
      <c r="U9" s="156" t="s">
        <v>333</v>
      </c>
      <c r="V9" s="156" t="s">
        <v>334</v>
      </c>
      <c r="W9" s="161" t="s">
        <v>335</v>
      </c>
      <c r="X9" s="163" t="b">
        <f>IF(AND(IF(X6&gt;=X5,TRUE,FALSE),X7=TRUE,X8=TRUE),TRUE,FALSE)</f>
        <v>0</v>
      </c>
      <c r="Y9" s="163" t="b">
        <f>IF(AND(IF(Y6&gt;=Y5,TRUE,FALSE),Y7=TRUE,Y8=TRUE),TRUE,FALSE)</f>
        <v>0</v>
      </c>
      <c r="Z9" s="163" t="b">
        <f>IF(AND(IF(Z6&gt;=Z5,TRUE,FALSE),Z7=TRUE,Z8=TRUE),TRUE,FALSE)</f>
        <v>0</v>
      </c>
      <c r="AA9" s="181" t="b">
        <f t="shared" ref="AA9" si="17">IF(AND(IF(AA6&gt;=AA5,TRUE,FALSE),AA7=TRUE,AA8=TRUE),TRUE,FALSE)</f>
        <v>0</v>
      </c>
      <c r="AB9" s="163" t="b">
        <f>IF(AND(IF(AB6&gt;=AB5,TRUE,FALSE),AB7=TRUE,AB8=TRUE),TRUE,FALSE)</f>
        <v>0</v>
      </c>
      <c r="AC9" s="163" t="b">
        <f>IF(AND(IF(AC6&gt;=AC5,TRUE,FALSE),AC7=TRUE,AC8=TRUE),TRUE,FALSE)</f>
        <v>0</v>
      </c>
      <c r="AD9" s="163" t="b">
        <f>IF(AND(IF(AD6&gt;=AD5,TRUE,FALSE),AD7=TRUE,AD8=TRUE),TRUE,FALSE)</f>
        <v>0</v>
      </c>
      <c r="AE9" s="181" t="b">
        <f t="shared" ref="AE9" si="18">IF(AND(IF(AE6&gt;=AE5,TRUE,FALSE),AE7=TRUE,AE8=TRUE),TRUE,FALSE)</f>
        <v>0</v>
      </c>
      <c r="AF9" s="181" t="b">
        <f t="shared" ref="AF9:AG9" si="19">IF(AND(IF(AF6&gt;=AF5,TRUE,FALSE),AF7=TRUE,AF8=TRUE),TRUE,FALSE)</f>
        <v>0</v>
      </c>
      <c r="AG9" s="181" t="b">
        <f t="shared" si="19"/>
        <v>0</v>
      </c>
      <c r="AH9" s="195" t="b">
        <f t="shared" ref="AH9:DR9" si="20">IF(AND(IF(AH6&gt;=AH5,TRUE,FALSE),AH7=TRUE,AH8=TRUE),TRUE,FALSE)</f>
        <v>0</v>
      </c>
      <c r="AI9" s="181" t="b">
        <f t="shared" si="20"/>
        <v>0</v>
      </c>
      <c r="AJ9" s="195" t="b">
        <f t="shared" ref="AJ9" si="21">IF(AND(IF(AJ6&gt;=AJ5,TRUE,FALSE),AJ7=TRUE,AJ8=TRUE),TRUE,FALSE)</f>
        <v>0</v>
      </c>
      <c r="AK9" s="195" t="b">
        <f>IF(AND(IF(AK6&gt;=AK5,TRUE,FALSE),AK7=TRUE,AK8=TRUE),TRUE,FALSE)</f>
        <v>0</v>
      </c>
      <c r="AL9" s="195" t="b">
        <f>IF(AND(IF(AL6&gt;=AL5,TRUE,FALSE),AL7=TRUE,AL8=TRUE),TRUE,FALSE)</f>
        <v>0</v>
      </c>
      <c r="AM9" s="195" t="b">
        <f t="shared" si="20"/>
        <v>0</v>
      </c>
      <c r="AN9" s="195" t="b">
        <f t="shared" ref="AN9" si="22">IF(AND(IF(AN6&gt;=AN5,TRUE,FALSE),AN7=TRUE,AN8=TRUE),TRUE,FALSE)</f>
        <v>0</v>
      </c>
      <c r="AO9" s="195" t="b">
        <f t="shared" si="20"/>
        <v>0</v>
      </c>
      <c r="AP9" s="195" t="b">
        <f t="shared" si="20"/>
        <v>0</v>
      </c>
      <c r="AQ9" s="195" t="b">
        <f t="shared" ref="AQ9:AS9" si="23">IF(AND(IF(AQ6&gt;=AQ5,TRUE,FALSE),AQ7=TRUE,AQ8=TRUE),TRUE,FALSE)</f>
        <v>0</v>
      </c>
      <c r="AR9" s="195" t="b">
        <f t="shared" si="23"/>
        <v>0</v>
      </c>
      <c r="AS9" s="195" t="b">
        <f t="shared" si="23"/>
        <v>0</v>
      </c>
      <c r="AT9" s="195" t="b">
        <f t="shared" ref="AT9:AU9" si="24">IF(AND(IF(AT6&gt;=AT5,TRUE,FALSE),AT7=TRUE,AT8=TRUE),TRUE,FALSE)</f>
        <v>0</v>
      </c>
      <c r="AU9" s="195" t="b">
        <f t="shared" si="24"/>
        <v>0</v>
      </c>
      <c r="AV9" s="206" t="b">
        <f t="shared" si="20"/>
        <v>0</v>
      </c>
      <c r="AW9" s="195" t="b">
        <f t="shared" ref="AW9:BA9" si="25">IF(AND(IF(AW6&gt;=AW5,TRUE,FALSE),AW7=TRUE,AW8=TRUE),TRUE,FALSE)</f>
        <v>0</v>
      </c>
      <c r="AX9" s="195" t="b">
        <f t="shared" si="25"/>
        <v>0</v>
      </c>
      <c r="AY9" s="195" t="b">
        <f t="shared" si="25"/>
        <v>0</v>
      </c>
      <c r="AZ9" s="195" t="b">
        <f t="shared" si="25"/>
        <v>0</v>
      </c>
      <c r="BA9" s="195" t="b">
        <f t="shared" si="25"/>
        <v>0</v>
      </c>
      <c r="BB9" s="195" t="b">
        <f t="shared" ref="BB9" si="26">IF(AND(IF(BB6&gt;=BB5,TRUE,FALSE),BB7=TRUE,BB8=TRUE),TRUE,FALSE)</f>
        <v>0</v>
      </c>
      <c r="BC9" s="195" t="b">
        <f t="shared" si="20"/>
        <v>0</v>
      </c>
      <c r="BD9" s="195" t="b">
        <f t="shared" ref="BD9:BF9" si="27">IF(AND(IF(BD6&gt;=BD5,TRUE,FALSE),BD7=TRUE,BD8=TRUE),TRUE,FALSE)</f>
        <v>0</v>
      </c>
      <c r="BE9" s="195" t="b">
        <f t="shared" si="27"/>
        <v>0</v>
      </c>
      <c r="BF9" s="195" t="b">
        <f t="shared" si="27"/>
        <v>0</v>
      </c>
      <c r="BG9" s="195" t="b">
        <f t="shared" ref="BG9" si="28">IF(AND(IF(BG6&gt;=BG5,TRUE,FALSE),BG7=TRUE,BG8=TRUE),TRUE,FALSE)</f>
        <v>0</v>
      </c>
      <c r="BH9" s="195" t="b">
        <f t="shared" si="20"/>
        <v>0</v>
      </c>
      <c r="BI9" s="195" t="b">
        <f t="shared" ref="BI9:BO9" si="29">IF(AND(IF(BI6&gt;=BI5,TRUE,FALSE),BI7=TRUE,BI8=TRUE),TRUE,FALSE)</f>
        <v>0</v>
      </c>
      <c r="BJ9" s="195" t="b">
        <f t="shared" si="29"/>
        <v>0</v>
      </c>
      <c r="BK9" s="195" t="b">
        <f t="shared" si="29"/>
        <v>0</v>
      </c>
      <c r="BL9" s="195" t="b">
        <f t="shared" si="29"/>
        <v>0</v>
      </c>
      <c r="BM9" s="195" t="b">
        <f t="shared" si="29"/>
        <v>0</v>
      </c>
      <c r="BN9" s="195" t="b">
        <f t="shared" si="29"/>
        <v>0</v>
      </c>
      <c r="BO9" s="195" t="b">
        <f t="shared" si="29"/>
        <v>0</v>
      </c>
      <c r="BP9" s="195" t="b">
        <f t="shared" si="20"/>
        <v>0</v>
      </c>
      <c r="BQ9" s="195" t="b">
        <f t="shared" si="20"/>
        <v>0</v>
      </c>
      <c r="BR9" s="195" t="b">
        <f t="shared" ref="BR9:BS9" si="30">IF(AND(IF(BR6&gt;=BR5,TRUE,FALSE),BR7=TRUE,BR8=TRUE),TRUE,FALSE)</f>
        <v>0</v>
      </c>
      <c r="BS9" s="195" t="b">
        <f t="shared" si="30"/>
        <v>0</v>
      </c>
      <c r="BT9" s="195" t="b">
        <f t="shared" si="20"/>
        <v>0</v>
      </c>
      <c r="BU9" s="195" t="b">
        <f t="shared" ref="BU9:BV9" si="31">IF(AND(IF(BU6&gt;=BU5,TRUE,FALSE),BU7=TRUE,BU8=TRUE),TRUE,FALSE)</f>
        <v>0</v>
      </c>
      <c r="BV9" s="195" t="b">
        <f t="shared" si="31"/>
        <v>0</v>
      </c>
      <c r="BW9" s="195" t="b">
        <f t="shared" si="20"/>
        <v>0</v>
      </c>
      <c r="BX9" s="195" t="b">
        <f t="shared" ref="BX9:CB9" si="32">IF(AND(IF(BX6&gt;=BX5,TRUE,FALSE),BX7=TRUE,BX8=TRUE),TRUE,FALSE)</f>
        <v>0</v>
      </c>
      <c r="BY9" s="195" t="b">
        <f t="shared" si="32"/>
        <v>0</v>
      </c>
      <c r="BZ9" s="195" t="b">
        <f t="shared" si="32"/>
        <v>0</v>
      </c>
      <c r="CA9" s="195" t="b">
        <f t="shared" si="32"/>
        <v>0</v>
      </c>
      <c r="CB9" s="195" t="b">
        <f t="shared" si="32"/>
        <v>0</v>
      </c>
      <c r="CC9" s="195" t="b">
        <f t="shared" si="20"/>
        <v>0</v>
      </c>
      <c r="CD9" s="195" t="b">
        <f t="shared" si="20"/>
        <v>1</v>
      </c>
      <c r="CE9" s="195" t="b">
        <f t="shared" ref="CE9:CJ9" si="33">IF(AND(IF(CE6&gt;=CE5,TRUE,FALSE),CE7=TRUE,CE8=TRUE),TRUE,FALSE)</f>
        <v>0</v>
      </c>
      <c r="CF9" s="195" t="b">
        <f t="shared" si="33"/>
        <v>1</v>
      </c>
      <c r="CG9" s="195" t="b">
        <f t="shared" si="33"/>
        <v>0</v>
      </c>
      <c r="CH9" s="195" t="b">
        <f t="shared" si="33"/>
        <v>0</v>
      </c>
      <c r="CI9" s="195" t="b">
        <f t="shared" si="33"/>
        <v>0</v>
      </c>
      <c r="CJ9" s="195" t="b">
        <f t="shared" si="33"/>
        <v>0</v>
      </c>
      <c r="CK9" s="195" t="b">
        <f t="shared" si="20"/>
        <v>0</v>
      </c>
      <c r="CL9" s="195" t="b">
        <f t="shared" ref="CL9:CN9" si="34">IF(AND(IF(CL6&gt;=CL5,TRUE,FALSE),CL7=TRUE,CL8=TRUE),TRUE,FALSE)</f>
        <v>0</v>
      </c>
      <c r="CM9" s="195" t="b">
        <f t="shared" si="34"/>
        <v>0</v>
      </c>
      <c r="CN9" s="195" t="b">
        <f t="shared" si="34"/>
        <v>0</v>
      </c>
      <c r="CO9" s="195" t="b">
        <f t="shared" si="20"/>
        <v>0</v>
      </c>
      <c r="CP9" s="195" t="b">
        <f t="shared" ref="CP9:CR9" si="35">IF(AND(IF(CP6&gt;=CP5,TRUE,FALSE),CP7=TRUE,CP8=TRUE),TRUE,FALSE)</f>
        <v>1</v>
      </c>
      <c r="CQ9" s="195" t="b">
        <f t="shared" si="35"/>
        <v>0</v>
      </c>
      <c r="CR9" s="195" t="b">
        <f t="shared" si="35"/>
        <v>1</v>
      </c>
      <c r="CS9" s="195" t="b">
        <f t="shared" si="20"/>
        <v>0</v>
      </c>
      <c r="CT9" s="195" t="b">
        <f t="shared" ref="CT9:CX9" si="36">IF(AND(IF(CT6&gt;=CT5,TRUE,FALSE),CT7=TRUE,CT8=TRUE),TRUE,FALSE)</f>
        <v>0</v>
      </c>
      <c r="CU9" s="195" t="b">
        <f t="shared" si="36"/>
        <v>0</v>
      </c>
      <c r="CV9" s="195" t="b">
        <f t="shared" si="36"/>
        <v>0</v>
      </c>
      <c r="CW9" s="195" t="b">
        <f t="shared" si="36"/>
        <v>0</v>
      </c>
      <c r="CX9" s="195" t="b">
        <f t="shared" si="36"/>
        <v>0</v>
      </c>
      <c r="CY9" s="195" t="b">
        <f t="shared" ref="CY9" si="37">IF(AND(IF(CY6&gt;=CY5,TRUE,FALSE),CY7=TRUE,CY8=TRUE),TRUE,FALSE)</f>
        <v>0</v>
      </c>
      <c r="CZ9" s="195" t="b">
        <f t="shared" si="20"/>
        <v>0</v>
      </c>
      <c r="DA9" s="195" t="b">
        <f t="shared" si="20"/>
        <v>0</v>
      </c>
      <c r="DB9" s="195" t="b">
        <f t="shared" ref="DB9" si="38">IF(AND(IF(DB6&gt;=DB5,TRUE,FALSE),DB7=TRUE,DB8=TRUE),TRUE,FALSE)</f>
        <v>0</v>
      </c>
      <c r="DC9" s="195" t="b">
        <f t="shared" si="20"/>
        <v>0</v>
      </c>
      <c r="DD9" s="195" t="b">
        <f t="shared" ref="DD9:DG9" si="39">IF(AND(IF(DD6&gt;=DD5,TRUE,FALSE),DD7=TRUE,DD8=TRUE),TRUE,FALSE)</f>
        <v>0</v>
      </c>
      <c r="DE9" s="195" t="b">
        <f t="shared" si="39"/>
        <v>0</v>
      </c>
      <c r="DF9" s="195" t="b">
        <f t="shared" si="39"/>
        <v>0</v>
      </c>
      <c r="DG9" s="195" t="b">
        <f t="shared" si="39"/>
        <v>0</v>
      </c>
      <c r="DH9" s="195" t="b">
        <f t="shared" si="20"/>
        <v>0</v>
      </c>
      <c r="DI9" s="195" t="b">
        <f t="shared" si="20"/>
        <v>0</v>
      </c>
      <c r="DJ9" s="195" t="b">
        <f t="shared" ref="DJ9:DL9" si="40">IF(AND(IF(DJ6&gt;=DJ5,TRUE,FALSE),DJ7=TRUE,DJ8=TRUE),TRUE,FALSE)</f>
        <v>0</v>
      </c>
      <c r="DK9" s="195" t="b">
        <f t="shared" si="40"/>
        <v>0</v>
      </c>
      <c r="DL9" s="195" t="b">
        <f t="shared" si="40"/>
        <v>0</v>
      </c>
      <c r="DM9" s="195" t="b">
        <f>IF(AND(IF(DM6&gt;=DM5,TRUE,FALSE),DM7=TRUE,DM8=TRUE),TRUE,FALSE)</f>
        <v>0</v>
      </c>
      <c r="DN9" s="195" t="b">
        <f>IF(AND(IF(DN6&gt;=DN5,TRUE,FALSE),DN7=TRUE,DN8=TRUE),TRUE,FALSE)</f>
        <v>0</v>
      </c>
      <c r="DO9" s="195" t="b">
        <f>IF(AND(IF(DO6&gt;=DO5,TRUE,FALSE),DO7=TRUE,DO8=TRUE),TRUE,FALSE)</f>
        <v>0</v>
      </c>
      <c r="DP9" s="195" t="b">
        <f>IF(AND(IF(DP6&gt;=DP5,TRUE,FALSE),DP7=TRUE,DP8=TRUE),TRUE,FALSE)</f>
        <v>0</v>
      </c>
      <c r="DQ9" s="195" t="b">
        <f>V115&gt;V114</f>
        <v>0</v>
      </c>
      <c r="DR9" s="195" t="b">
        <f t="shared" si="20"/>
        <v>0</v>
      </c>
      <c r="DS9" s="195" t="b">
        <f t="shared" ref="DS9:DX9" si="41">IF(AND(IF(DS6&gt;=DS5,TRUE,FALSE),DS7=TRUE,DS8=TRUE),TRUE,FALSE)</f>
        <v>0</v>
      </c>
      <c r="DT9" s="195" t="b">
        <f t="shared" si="41"/>
        <v>0</v>
      </c>
      <c r="DU9" s="195" t="b">
        <f t="shared" si="41"/>
        <v>0</v>
      </c>
      <c r="DV9" s="195" t="b">
        <f t="shared" si="41"/>
        <v>0</v>
      </c>
      <c r="DW9" s="195" t="b">
        <f t="shared" si="41"/>
        <v>0</v>
      </c>
      <c r="DX9" s="195" t="b">
        <f t="shared" si="41"/>
        <v>0</v>
      </c>
      <c r="EB9" s="335"/>
      <c r="EC9">
        <v>8</v>
      </c>
      <c r="ED9" t="s">
        <v>298</v>
      </c>
      <c r="EE9" t="b" cm="1">
        <f t="array" ref="EE9">IF(SUMPRODUCT(--($EC9=$X$2:$DX$2),--($X$9:$DX$9))&gt;=1,TRUE,FALSE)</f>
        <v>0</v>
      </c>
      <c r="EF9" s="29" t="str">
        <f>'CycleRAP Model'!K10</f>
        <v>GPS coordinates – latitude start</v>
      </c>
      <c r="EG9">
        <f>'CycleRAP Model'!O10</f>
        <v>4.6501536000000003</v>
      </c>
      <c r="EH9" s="335"/>
      <c r="EI9">
        <v>8</v>
      </c>
      <c r="EJ9" t="s">
        <v>298</v>
      </c>
      <c r="EK9" t="b">
        <f t="shared" si="5"/>
        <v>0</v>
      </c>
      <c r="EL9" t="str">
        <f t="shared" ca="1" si="0"/>
        <v>Gabriel G</v>
      </c>
      <c r="EM9">
        <f t="shared" ca="1" si="0"/>
        <v>45076</v>
      </c>
      <c r="EN9">
        <f t="shared" ca="1" si="0"/>
        <v>45076</v>
      </c>
      <c r="EO9" t="str">
        <f t="shared" ca="1" si="0"/>
        <v>F004560</v>
      </c>
      <c r="EP9" t="str">
        <f t="shared" ca="1" si="0"/>
        <v>Carrera 30</v>
      </c>
      <c r="EQ9">
        <f t="shared" ca="1" si="0"/>
        <v>4560</v>
      </c>
      <c r="ER9">
        <f t="shared" ca="1" si="0"/>
        <v>0.01</v>
      </c>
      <c r="ES9">
        <f t="shared" ca="1" si="0"/>
        <v>4.6501536000000003</v>
      </c>
      <c r="ET9">
        <f t="shared" ca="1" si="0"/>
        <v>-74.078029700000002</v>
      </c>
      <c r="EU9">
        <f t="shared" ca="1" si="0"/>
        <v>4.6502423000000004</v>
      </c>
      <c r="EV9">
        <f t="shared" ca="1" si="0"/>
        <v>-74.078021500000006</v>
      </c>
      <c r="EW9" t="e">
        <f t="shared" ca="1" si="0"/>
        <v>#REF!</v>
      </c>
      <c r="EX9">
        <f t="shared" ca="1" si="1"/>
        <v>2</v>
      </c>
      <c r="EY9">
        <f t="shared" ca="1" si="1"/>
        <v>3</v>
      </c>
      <c r="EZ9">
        <f t="shared" ca="1" si="1"/>
        <v>1</v>
      </c>
      <c r="FA9">
        <f t="shared" ca="1" si="1"/>
        <v>2</v>
      </c>
      <c r="FB9">
        <f t="shared" ca="1" si="1"/>
        <v>2</v>
      </c>
      <c r="FC9">
        <f t="shared" ca="1" si="1"/>
        <v>2</v>
      </c>
      <c r="FD9">
        <f t="shared" ca="1" si="1"/>
        <v>2</v>
      </c>
      <c r="FE9">
        <f t="shared" ca="1" si="1"/>
        <v>2</v>
      </c>
      <c r="FF9">
        <f t="shared" ca="1" si="1"/>
        <v>2</v>
      </c>
      <c r="FG9">
        <f t="shared" ca="1" si="1"/>
        <v>1</v>
      </c>
      <c r="FH9">
        <f t="shared" ca="1" si="2"/>
        <v>1</v>
      </c>
      <c r="FI9">
        <f t="shared" ca="1" si="2"/>
        <v>2</v>
      </c>
      <c r="FJ9">
        <f t="shared" ca="1" si="2"/>
        <v>2</v>
      </c>
      <c r="FK9">
        <f t="shared" ca="1" si="2"/>
        <v>2</v>
      </c>
      <c r="FL9">
        <f t="shared" ca="1" si="2"/>
        <v>2</v>
      </c>
      <c r="FM9">
        <f t="shared" ca="1" si="2"/>
        <v>2</v>
      </c>
      <c r="FN9">
        <f t="shared" ca="1" si="2"/>
        <v>1</v>
      </c>
      <c r="FO9">
        <f t="shared" ca="1" si="2"/>
        <v>1</v>
      </c>
      <c r="FP9">
        <f t="shared" ca="1" si="2"/>
        <v>2</v>
      </c>
      <c r="FQ9">
        <f t="shared" ca="1" si="2"/>
        <v>2</v>
      </c>
      <c r="FR9">
        <f t="shared" ca="1" si="3"/>
        <v>2</v>
      </c>
      <c r="FS9">
        <f t="shared" ca="1" si="3"/>
        <v>2</v>
      </c>
      <c r="FT9">
        <f t="shared" ca="1" si="3"/>
        <v>2</v>
      </c>
      <c r="FU9">
        <f t="shared" ca="1" si="3"/>
        <v>1</v>
      </c>
      <c r="FV9">
        <f t="shared" ca="1" si="3"/>
        <v>2</v>
      </c>
      <c r="FW9">
        <f t="shared" ca="1" si="3"/>
        <v>1</v>
      </c>
      <c r="FX9">
        <f t="shared" ca="1" si="3"/>
        <v>2</v>
      </c>
      <c r="FY9">
        <f t="shared" ca="1" si="3"/>
        <v>2</v>
      </c>
      <c r="FZ9">
        <f t="shared" ca="1" si="3"/>
        <v>2</v>
      </c>
      <c r="GA9">
        <f t="shared" ca="1" si="3"/>
        <v>2</v>
      </c>
      <c r="GB9">
        <f t="shared" ca="1" si="4"/>
        <v>2</v>
      </c>
      <c r="GC9">
        <f t="shared" ca="1" si="4"/>
        <v>2</v>
      </c>
      <c r="GD9">
        <f t="shared" ca="1" si="4"/>
        <v>1</v>
      </c>
      <c r="GE9">
        <f t="shared" ca="1" si="4"/>
        <v>2</v>
      </c>
      <c r="GF9">
        <f t="shared" ca="1" si="4"/>
        <v>3</v>
      </c>
      <c r="GG9">
        <f t="shared" ca="1" si="4"/>
        <v>2</v>
      </c>
      <c r="GH9">
        <f t="shared" ca="1" si="4"/>
        <v>2</v>
      </c>
      <c r="GI9">
        <f t="shared" ca="1" si="4"/>
        <v>1</v>
      </c>
      <c r="GJ9">
        <f t="shared" ca="1" si="4"/>
        <v>1</v>
      </c>
      <c r="GK9">
        <f t="shared" ca="1" si="4"/>
        <v>39500</v>
      </c>
      <c r="GL9">
        <f t="shared" ca="1" si="4"/>
        <v>2</v>
      </c>
      <c r="GM9">
        <f t="shared" ca="1" si="4"/>
        <v>50</v>
      </c>
      <c r="GN9">
        <f t="shared" ca="1" si="4"/>
        <v>42.47</v>
      </c>
      <c r="GO9">
        <f t="shared" ca="1" si="4"/>
        <v>0</v>
      </c>
      <c r="GP9" s="335"/>
    </row>
    <row r="10" spans="1:262" x14ac:dyDescent="0.25">
      <c r="A10" s="334"/>
      <c r="B10">
        <v>9</v>
      </c>
      <c r="C10" t="s">
        <v>281</v>
      </c>
      <c r="D10">
        <v>16</v>
      </c>
      <c r="E10" s="142" t="s">
        <v>23</v>
      </c>
      <c r="F10">
        <f>'Upload spec'!G28</f>
        <v>2</v>
      </c>
      <c r="G10" s="143" t="s">
        <v>22</v>
      </c>
      <c r="R10" s="335"/>
      <c r="S10" s="4" t="s">
        <v>74</v>
      </c>
      <c r="T10" t="s">
        <v>145</v>
      </c>
      <c r="U10" t="s">
        <v>144</v>
      </c>
      <c r="V10" t="str">
        <f>'CycleRAP Model'!O3</f>
        <v>Gabriel G</v>
      </c>
      <c r="W10" s="158"/>
      <c r="X10" s="163"/>
      <c r="Y10" s="163"/>
      <c r="Z10" s="163"/>
      <c r="AA10" s="181"/>
      <c r="AB10" s="163"/>
      <c r="AC10" s="163"/>
      <c r="AD10" s="163"/>
      <c r="AE10" s="181"/>
      <c r="AF10" s="206"/>
      <c r="AG10" s="195"/>
      <c r="AH10" s="195"/>
      <c r="AI10" s="206"/>
      <c r="AJ10" s="195"/>
      <c r="AK10" s="195"/>
      <c r="AL10" s="195"/>
      <c r="AM10" s="195"/>
      <c r="AN10" s="195"/>
      <c r="AO10" s="195"/>
      <c r="AP10" s="195"/>
      <c r="AQ10" s="195"/>
      <c r="AR10" s="195"/>
      <c r="AS10" s="195"/>
      <c r="AT10" s="195"/>
      <c r="AU10" s="195"/>
      <c r="AV10" s="206"/>
      <c r="AW10" s="195"/>
      <c r="AX10" s="195"/>
      <c r="AY10" s="195"/>
      <c r="AZ10" s="195"/>
      <c r="BA10" s="195"/>
      <c r="BB10" s="195"/>
      <c r="BC10" s="195"/>
      <c r="BD10" s="195"/>
      <c r="BE10" s="195"/>
      <c r="BF10" s="195"/>
      <c r="BG10" s="195"/>
      <c r="BH10" s="195"/>
      <c r="BI10" s="195"/>
      <c r="BJ10" s="195"/>
      <c r="BK10" s="195"/>
      <c r="BL10" s="195"/>
      <c r="BM10" s="195"/>
      <c r="BN10" s="195"/>
      <c r="BO10" s="195"/>
      <c r="BP10" s="195"/>
      <c r="BQ10" s="195"/>
      <c r="BR10" s="195"/>
      <c r="BS10" s="195"/>
      <c r="BT10" s="195"/>
      <c r="BU10" s="195"/>
      <c r="BV10" s="195"/>
      <c r="BW10" s="195"/>
      <c r="BX10" s="195"/>
      <c r="BY10" s="195"/>
      <c r="BZ10" s="195"/>
      <c r="CA10" s="195"/>
      <c r="CB10" s="195"/>
      <c r="CC10" s="195"/>
      <c r="CD10" s="195"/>
      <c r="CE10" s="195"/>
      <c r="CF10" s="195"/>
      <c r="CG10" s="195"/>
      <c r="CH10" s="195"/>
      <c r="CI10" s="195"/>
      <c r="CJ10" s="195"/>
      <c r="CK10" s="195"/>
      <c r="CL10" s="195"/>
      <c r="CM10" s="195"/>
      <c r="CN10" s="195"/>
      <c r="CO10" s="195"/>
      <c r="CP10" s="195"/>
      <c r="CQ10" s="195"/>
      <c r="CR10" s="195"/>
      <c r="CS10" s="195"/>
      <c r="CT10" s="195"/>
      <c r="CU10" s="195"/>
      <c r="CV10" s="195"/>
      <c r="CW10" s="195"/>
      <c r="CX10" s="195"/>
      <c r="CY10" s="195"/>
      <c r="CZ10" s="195"/>
      <c r="DA10" s="195"/>
      <c r="DB10" s="195"/>
      <c r="DC10" s="195"/>
      <c r="DD10" s="195"/>
      <c r="DE10" s="195"/>
      <c r="DF10" s="195"/>
      <c r="DG10" s="195"/>
      <c r="DH10" s="195"/>
      <c r="DI10" s="195"/>
      <c r="DJ10" s="195"/>
      <c r="DK10" s="195"/>
      <c r="DL10" s="195"/>
      <c r="DM10" s="195"/>
      <c r="DN10" s="195"/>
      <c r="DO10" s="195"/>
      <c r="DP10" s="195"/>
      <c r="DQ10" s="195"/>
      <c r="DR10" s="195"/>
      <c r="DS10" s="195"/>
      <c r="DT10" s="195"/>
      <c r="DU10" s="195"/>
      <c r="DV10" s="195"/>
      <c r="DW10" s="195"/>
      <c r="DX10" s="195"/>
      <c r="EB10" s="335"/>
      <c r="EC10">
        <v>9</v>
      </c>
      <c r="ED10" t="s">
        <v>281</v>
      </c>
      <c r="EE10" t="b" cm="1">
        <f t="array" ref="EE10">IF(SUMPRODUCT(--($EC10=$X$2:$DX$2),--($X$9:$DX$9))&gt;=1,TRUE,FALSE)</f>
        <v>0</v>
      </c>
      <c r="EF10" s="29" t="str">
        <f>'CycleRAP Model'!K11</f>
        <v>GPS coordinates – longitude start</v>
      </c>
      <c r="EG10">
        <f>'CycleRAP Model'!O11</f>
        <v>-74.078029700000002</v>
      </c>
      <c r="EH10" s="335"/>
      <c r="EI10">
        <v>9</v>
      </c>
      <c r="EJ10" t="s">
        <v>281</v>
      </c>
      <c r="EK10" t="b">
        <f t="shared" si="5"/>
        <v>0</v>
      </c>
      <c r="EL10" t="str">
        <f t="shared" ca="1" si="0"/>
        <v>Gabriel G</v>
      </c>
      <c r="EM10">
        <f t="shared" ca="1" si="0"/>
        <v>45076</v>
      </c>
      <c r="EN10">
        <f t="shared" ca="1" si="0"/>
        <v>45076</v>
      </c>
      <c r="EO10" t="str">
        <f t="shared" ca="1" si="0"/>
        <v>F004560</v>
      </c>
      <c r="EP10" t="str">
        <f t="shared" ca="1" si="0"/>
        <v>Carrera 30</v>
      </c>
      <c r="EQ10">
        <f t="shared" ca="1" si="0"/>
        <v>4560</v>
      </c>
      <c r="ER10">
        <f t="shared" ca="1" si="0"/>
        <v>0.01</v>
      </c>
      <c r="ES10">
        <f t="shared" ca="1" si="0"/>
        <v>4.6501536000000003</v>
      </c>
      <c r="ET10">
        <f t="shared" ca="1" si="0"/>
        <v>-74.078029700000002</v>
      </c>
      <c r="EU10">
        <f t="shared" ca="1" si="0"/>
        <v>4.6502423000000004</v>
      </c>
      <c r="EV10">
        <f t="shared" ca="1" si="0"/>
        <v>-74.078021500000006</v>
      </c>
      <c r="EW10" t="e">
        <f t="shared" ca="1" si="0"/>
        <v>#REF!</v>
      </c>
      <c r="EX10">
        <f t="shared" ca="1" si="1"/>
        <v>2</v>
      </c>
      <c r="EY10">
        <f t="shared" ca="1" si="1"/>
        <v>3</v>
      </c>
      <c r="EZ10">
        <f t="shared" ca="1" si="1"/>
        <v>1</v>
      </c>
      <c r="FA10">
        <f t="shared" ca="1" si="1"/>
        <v>2</v>
      </c>
      <c r="FB10">
        <f t="shared" ca="1" si="1"/>
        <v>2</v>
      </c>
      <c r="FC10">
        <f t="shared" ca="1" si="1"/>
        <v>2</v>
      </c>
      <c r="FD10">
        <f t="shared" ca="1" si="1"/>
        <v>2</v>
      </c>
      <c r="FE10">
        <f t="shared" ca="1" si="1"/>
        <v>2</v>
      </c>
      <c r="FF10">
        <f t="shared" ca="1" si="1"/>
        <v>2</v>
      </c>
      <c r="FG10">
        <f t="shared" ca="1" si="1"/>
        <v>1</v>
      </c>
      <c r="FH10">
        <f t="shared" ca="1" si="2"/>
        <v>1</v>
      </c>
      <c r="FI10">
        <f t="shared" ca="1" si="2"/>
        <v>2</v>
      </c>
      <c r="FJ10">
        <f t="shared" ca="1" si="2"/>
        <v>2</v>
      </c>
      <c r="FK10">
        <f t="shared" ca="1" si="2"/>
        <v>2</v>
      </c>
      <c r="FL10">
        <f t="shared" ca="1" si="2"/>
        <v>2</v>
      </c>
      <c r="FM10">
        <f t="shared" ca="1" si="2"/>
        <v>2</v>
      </c>
      <c r="FN10">
        <f t="shared" ca="1" si="2"/>
        <v>1</v>
      </c>
      <c r="FO10">
        <f t="shared" ca="1" si="2"/>
        <v>1</v>
      </c>
      <c r="FP10">
        <f t="shared" ca="1" si="2"/>
        <v>2</v>
      </c>
      <c r="FQ10">
        <f t="shared" ca="1" si="2"/>
        <v>2</v>
      </c>
      <c r="FR10">
        <f t="shared" ca="1" si="3"/>
        <v>2</v>
      </c>
      <c r="FS10">
        <f t="shared" ca="1" si="3"/>
        <v>2</v>
      </c>
      <c r="FT10">
        <f t="shared" ca="1" si="3"/>
        <v>2</v>
      </c>
      <c r="FU10">
        <f t="shared" ca="1" si="3"/>
        <v>1</v>
      </c>
      <c r="FV10">
        <f t="shared" ca="1" si="3"/>
        <v>2</v>
      </c>
      <c r="FW10">
        <f t="shared" ca="1" si="3"/>
        <v>1</v>
      </c>
      <c r="FX10">
        <f t="shared" ca="1" si="3"/>
        <v>2</v>
      </c>
      <c r="FY10">
        <f t="shared" ca="1" si="3"/>
        <v>2</v>
      </c>
      <c r="FZ10">
        <f t="shared" ca="1" si="3"/>
        <v>2</v>
      </c>
      <c r="GA10">
        <f t="shared" ca="1" si="3"/>
        <v>2</v>
      </c>
      <c r="GB10">
        <f t="shared" ca="1" si="4"/>
        <v>2</v>
      </c>
      <c r="GC10">
        <f t="shared" ca="1" si="4"/>
        <v>2</v>
      </c>
      <c r="GD10">
        <f t="shared" ca="1" si="4"/>
        <v>1</v>
      </c>
      <c r="GE10">
        <f t="shared" ca="1" si="4"/>
        <v>2</v>
      </c>
      <c r="GF10">
        <f t="shared" ca="1" si="4"/>
        <v>3</v>
      </c>
      <c r="GG10">
        <f t="shared" ca="1" si="4"/>
        <v>2</v>
      </c>
      <c r="GH10">
        <f t="shared" ca="1" si="4"/>
        <v>2</v>
      </c>
      <c r="GI10">
        <f t="shared" ca="1" si="4"/>
        <v>1</v>
      </c>
      <c r="GJ10">
        <f t="shared" ca="1" si="4"/>
        <v>1</v>
      </c>
      <c r="GK10">
        <f t="shared" ca="1" si="4"/>
        <v>39500</v>
      </c>
      <c r="GL10">
        <f t="shared" ca="1" si="4"/>
        <v>2</v>
      </c>
      <c r="GM10">
        <f t="shared" ca="1" si="4"/>
        <v>50</v>
      </c>
      <c r="GN10">
        <f t="shared" ca="1" si="4"/>
        <v>42.47</v>
      </c>
      <c r="GO10">
        <f t="shared" ca="1" si="4"/>
        <v>0</v>
      </c>
      <c r="GP10" s="335"/>
    </row>
    <row r="11" spans="1:262" x14ac:dyDescent="0.25">
      <c r="A11" s="334"/>
      <c r="B11">
        <v>10</v>
      </c>
      <c r="C11" t="s">
        <v>282</v>
      </c>
      <c r="D11">
        <v>22</v>
      </c>
      <c r="E11" s="142" t="s">
        <v>38</v>
      </c>
      <c r="F11">
        <f>'Upload spec'!G39</f>
        <v>1</v>
      </c>
      <c r="G11" s="143" t="s">
        <v>24</v>
      </c>
      <c r="R11" s="335"/>
      <c r="S11" s="4" t="s">
        <v>75</v>
      </c>
      <c r="T11" t="s">
        <v>155</v>
      </c>
      <c r="U11" t="s">
        <v>144</v>
      </c>
      <c r="V11">
        <f>'CycleRAP Model'!O4</f>
        <v>45076</v>
      </c>
      <c r="W11" s="158"/>
      <c r="X11" s="163"/>
      <c r="Y11" s="163"/>
      <c r="Z11" s="163"/>
      <c r="AA11" s="181"/>
      <c r="AB11" s="163"/>
      <c r="AC11" s="163"/>
      <c r="AD11" s="163"/>
      <c r="AE11" s="181"/>
      <c r="AF11" s="206"/>
      <c r="AG11" s="195"/>
      <c r="AH11" s="195"/>
      <c r="AI11" s="206"/>
      <c r="AJ11" s="195"/>
      <c r="AK11" s="195"/>
      <c r="AL11" s="195"/>
      <c r="AM11" s="195"/>
      <c r="AN11" s="195"/>
      <c r="AO11" s="195"/>
      <c r="AP11" s="195"/>
      <c r="AQ11" s="195"/>
      <c r="AR11" s="195"/>
      <c r="AS11" s="195"/>
      <c r="AT11" s="195"/>
      <c r="AU11" s="195"/>
      <c r="AV11" s="206"/>
      <c r="AW11" s="195"/>
      <c r="AX11" s="195"/>
      <c r="AY11" s="195"/>
      <c r="AZ11" s="195"/>
      <c r="BA11" s="195"/>
      <c r="BB11" s="195"/>
      <c r="BC11" s="195"/>
      <c r="BD11" s="195"/>
      <c r="BE11" s="195"/>
      <c r="BF11" s="195"/>
      <c r="BG11" s="195"/>
      <c r="BH11" s="195"/>
      <c r="BI11" s="195"/>
      <c r="BJ11" s="195"/>
      <c r="BK11" s="195"/>
      <c r="BL11" s="195"/>
      <c r="BM11" s="195"/>
      <c r="BN11" s="195"/>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195"/>
      <c r="DW11" s="195"/>
      <c r="DX11" s="195"/>
      <c r="EB11" s="335"/>
      <c r="EC11">
        <v>10</v>
      </c>
      <c r="ED11" t="s">
        <v>282</v>
      </c>
      <c r="EE11" t="b" cm="1">
        <f t="array" ref="EE11">IF(SUMPRODUCT(--($EC11=$X$2:$DX$2),--($X$9:$DX$9))&gt;=1,TRUE,FALSE)</f>
        <v>0</v>
      </c>
      <c r="EF11" s="29" t="str">
        <f>'CycleRAP Model'!K12</f>
        <v>GPS coordinates – latitude end</v>
      </c>
      <c r="EG11">
        <f>'CycleRAP Model'!O12</f>
        <v>4.6502423000000004</v>
      </c>
      <c r="EH11" s="335"/>
      <c r="EI11">
        <v>10</v>
      </c>
      <c r="EJ11" t="s">
        <v>282</v>
      </c>
      <c r="EK11" t="b">
        <f t="shared" si="5"/>
        <v>0</v>
      </c>
      <c r="EL11" t="str">
        <f t="shared" ca="1" si="0"/>
        <v>Gabriel G</v>
      </c>
      <c r="EM11">
        <f t="shared" ca="1" si="0"/>
        <v>45076</v>
      </c>
      <c r="EN11">
        <f t="shared" ca="1" si="0"/>
        <v>45076</v>
      </c>
      <c r="EO11" t="str">
        <f t="shared" ca="1" si="0"/>
        <v>F004560</v>
      </c>
      <c r="EP11" t="str">
        <f t="shared" ca="1" si="0"/>
        <v>Carrera 30</v>
      </c>
      <c r="EQ11">
        <f t="shared" ca="1" si="0"/>
        <v>4560</v>
      </c>
      <c r="ER11">
        <f t="shared" ca="1" si="0"/>
        <v>0.01</v>
      </c>
      <c r="ES11">
        <f t="shared" ca="1" si="0"/>
        <v>4.6501536000000003</v>
      </c>
      <c r="ET11">
        <f t="shared" ca="1" si="0"/>
        <v>-74.078029700000002</v>
      </c>
      <c r="EU11">
        <f t="shared" ca="1" si="0"/>
        <v>4.6502423000000004</v>
      </c>
      <c r="EV11">
        <f t="shared" ca="1" si="0"/>
        <v>-74.078021500000006</v>
      </c>
      <c r="EW11" t="e">
        <f t="shared" ca="1" si="0"/>
        <v>#REF!</v>
      </c>
      <c r="EX11">
        <f t="shared" ca="1" si="1"/>
        <v>2</v>
      </c>
      <c r="EY11">
        <f t="shared" ca="1" si="1"/>
        <v>3</v>
      </c>
      <c r="EZ11">
        <f t="shared" ca="1" si="1"/>
        <v>1</v>
      </c>
      <c r="FA11">
        <f t="shared" ca="1" si="1"/>
        <v>2</v>
      </c>
      <c r="FB11">
        <f t="shared" ca="1" si="1"/>
        <v>2</v>
      </c>
      <c r="FC11">
        <f t="shared" ca="1" si="1"/>
        <v>2</v>
      </c>
      <c r="FD11">
        <f t="shared" ca="1" si="1"/>
        <v>2</v>
      </c>
      <c r="FE11">
        <f t="shared" ca="1" si="1"/>
        <v>2</v>
      </c>
      <c r="FF11">
        <f t="shared" ca="1" si="1"/>
        <v>2</v>
      </c>
      <c r="FG11">
        <f t="shared" ca="1" si="1"/>
        <v>1</v>
      </c>
      <c r="FH11">
        <f t="shared" ca="1" si="2"/>
        <v>1</v>
      </c>
      <c r="FI11">
        <f t="shared" ca="1" si="2"/>
        <v>2</v>
      </c>
      <c r="FJ11">
        <f t="shared" ca="1" si="2"/>
        <v>2</v>
      </c>
      <c r="FK11">
        <f t="shared" ca="1" si="2"/>
        <v>2</v>
      </c>
      <c r="FL11">
        <f t="shared" ca="1" si="2"/>
        <v>2</v>
      </c>
      <c r="FM11">
        <f t="shared" ca="1" si="2"/>
        <v>2</v>
      </c>
      <c r="FN11">
        <f t="shared" ca="1" si="2"/>
        <v>1</v>
      </c>
      <c r="FO11">
        <f t="shared" ca="1" si="2"/>
        <v>1</v>
      </c>
      <c r="FP11">
        <f t="shared" ca="1" si="2"/>
        <v>2</v>
      </c>
      <c r="FQ11">
        <f t="shared" ca="1" si="2"/>
        <v>2</v>
      </c>
      <c r="FR11">
        <f t="shared" ca="1" si="3"/>
        <v>2</v>
      </c>
      <c r="FS11">
        <f t="shared" ca="1" si="3"/>
        <v>2</v>
      </c>
      <c r="FT11">
        <f t="shared" ca="1" si="3"/>
        <v>2</v>
      </c>
      <c r="FU11">
        <f t="shared" ca="1" si="3"/>
        <v>1</v>
      </c>
      <c r="FV11">
        <f t="shared" ca="1" si="3"/>
        <v>2</v>
      </c>
      <c r="FW11">
        <f t="shared" ca="1" si="3"/>
        <v>1</v>
      </c>
      <c r="FX11">
        <f t="shared" ca="1" si="3"/>
        <v>2</v>
      </c>
      <c r="FY11">
        <f t="shared" ca="1" si="3"/>
        <v>2</v>
      </c>
      <c r="FZ11">
        <f t="shared" ca="1" si="3"/>
        <v>2</v>
      </c>
      <c r="GA11">
        <f t="shared" ca="1" si="3"/>
        <v>2</v>
      </c>
      <c r="GB11">
        <f t="shared" ca="1" si="4"/>
        <v>2</v>
      </c>
      <c r="GC11">
        <f t="shared" ca="1" si="4"/>
        <v>2</v>
      </c>
      <c r="GD11">
        <f t="shared" ca="1" si="4"/>
        <v>1</v>
      </c>
      <c r="GE11">
        <f t="shared" ca="1" si="4"/>
        <v>2</v>
      </c>
      <c r="GF11">
        <f t="shared" ca="1" si="4"/>
        <v>3</v>
      </c>
      <c r="GG11">
        <f t="shared" ca="1" si="4"/>
        <v>2</v>
      </c>
      <c r="GH11">
        <f t="shared" ca="1" si="4"/>
        <v>2</v>
      </c>
      <c r="GI11">
        <f t="shared" ca="1" si="4"/>
        <v>1</v>
      </c>
      <c r="GJ11">
        <f t="shared" ca="1" si="4"/>
        <v>1</v>
      </c>
      <c r="GK11">
        <f t="shared" ca="1" si="4"/>
        <v>39500</v>
      </c>
      <c r="GL11">
        <f t="shared" ca="1" si="4"/>
        <v>2</v>
      </c>
      <c r="GM11">
        <f t="shared" ca="1" si="4"/>
        <v>50</v>
      </c>
      <c r="GN11">
        <f t="shared" ca="1" si="4"/>
        <v>42.47</v>
      </c>
      <c r="GO11">
        <f t="shared" ca="1" si="4"/>
        <v>0</v>
      </c>
      <c r="GP11" s="335"/>
    </row>
    <row r="12" spans="1:262" x14ac:dyDescent="0.25">
      <c r="A12" s="334"/>
      <c r="B12">
        <v>11</v>
      </c>
      <c r="C12" t="s">
        <v>283</v>
      </c>
      <c r="D12">
        <v>38</v>
      </c>
      <c r="E12" s="142" t="s">
        <v>21</v>
      </c>
      <c r="F12">
        <f>'Upload spec'!G72</f>
        <v>1</v>
      </c>
      <c r="G12" s="143" t="s">
        <v>24</v>
      </c>
      <c r="R12" s="335"/>
      <c r="S12" s="4" t="s">
        <v>76</v>
      </c>
      <c r="T12" t="s">
        <v>155</v>
      </c>
      <c r="U12" t="s">
        <v>144</v>
      </c>
      <c r="V12">
        <f>'CycleRAP Model'!O5</f>
        <v>45076</v>
      </c>
      <c r="W12" s="158"/>
      <c r="X12" s="163"/>
      <c r="Y12" s="163"/>
      <c r="Z12" s="163"/>
      <c r="AA12" s="181"/>
      <c r="AB12" s="163"/>
      <c r="AC12" s="163"/>
      <c r="AD12" s="163"/>
      <c r="AE12" s="181"/>
      <c r="AF12" s="206"/>
      <c r="AG12" s="195"/>
      <c r="AH12" s="195"/>
      <c r="AI12" s="206"/>
      <c r="AJ12" s="195"/>
      <c r="AK12" s="195"/>
      <c r="AL12" s="195"/>
      <c r="AM12" s="195"/>
      <c r="AN12" s="195"/>
      <c r="AO12" s="195"/>
      <c r="AP12" s="195"/>
      <c r="AQ12" s="195"/>
      <c r="AR12" s="195"/>
      <c r="AS12" s="195"/>
      <c r="AT12" s="195"/>
      <c r="AU12" s="195"/>
      <c r="AV12" s="206"/>
      <c r="AW12" s="195"/>
      <c r="AX12" s="195"/>
      <c r="AY12" s="195"/>
      <c r="AZ12" s="195"/>
      <c r="BA12" s="195"/>
      <c r="BB12" s="195"/>
      <c r="BC12" s="195"/>
      <c r="BD12" s="195"/>
      <c r="BE12" s="195"/>
      <c r="BF12" s="195"/>
      <c r="BG12" s="195"/>
      <c r="BH12" s="195"/>
      <c r="BI12" s="195"/>
      <c r="BJ12" s="195"/>
      <c r="BK12" s="195"/>
      <c r="BL12" s="195"/>
      <c r="BM12" s="195"/>
      <c r="BN12" s="195"/>
      <c r="BO12" s="195"/>
      <c r="BP12" s="195"/>
      <c r="BQ12" s="195"/>
      <c r="BR12" s="195"/>
      <c r="BS12" s="195"/>
      <c r="BT12" s="195"/>
      <c r="BU12" s="195"/>
      <c r="BV12" s="195"/>
      <c r="BW12" s="195"/>
      <c r="BX12" s="195"/>
      <c r="BY12" s="195"/>
      <c r="BZ12" s="195"/>
      <c r="CA12" s="195"/>
      <c r="CB12" s="195"/>
      <c r="CC12" s="195"/>
      <c r="CD12" s="195"/>
      <c r="CE12" s="195"/>
      <c r="CF12" s="195"/>
      <c r="CG12" s="195"/>
      <c r="CH12" s="195"/>
      <c r="CI12" s="195"/>
      <c r="CJ12" s="195"/>
      <c r="CK12" s="195"/>
      <c r="CL12" s="195"/>
      <c r="CM12" s="195"/>
      <c r="CN12" s="195"/>
      <c r="CO12" s="195"/>
      <c r="CP12" s="195"/>
      <c r="CQ12" s="195"/>
      <c r="CR12" s="195"/>
      <c r="CS12" s="195"/>
      <c r="CT12" s="195"/>
      <c r="CU12" s="195"/>
      <c r="CV12" s="195"/>
      <c r="CW12" s="195"/>
      <c r="CX12" s="195"/>
      <c r="CY12" s="195"/>
      <c r="CZ12" s="195"/>
      <c r="DA12" s="195"/>
      <c r="DB12" s="195"/>
      <c r="DC12" s="195"/>
      <c r="DD12" s="195"/>
      <c r="DE12" s="195"/>
      <c r="DF12" s="195"/>
      <c r="DG12" s="195"/>
      <c r="DH12" s="195"/>
      <c r="DI12" s="195"/>
      <c r="DJ12" s="195"/>
      <c r="DK12" s="195"/>
      <c r="DL12" s="195"/>
      <c r="DM12" s="195"/>
      <c r="DN12" s="195"/>
      <c r="DO12" s="195"/>
      <c r="DP12" s="195"/>
      <c r="DQ12" s="195"/>
      <c r="DR12" s="195"/>
      <c r="DS12" s="195"/>
      <c r="DT12" s="195"/>
      <c r="DU12" s="195"/>
      <c r="DV12" s="195"/>
      <c r="DW12" s="195"/>
      <c r="DX12" s="195"/>
      <c r="EB12" s="335"/>
      <c r="EC12">
        <v>11</v>
      </c>
      <c r="ED12" t="s">
        <v>283</v>
      </c>
      <c r="EE12" t="b" cm="1">
        <f t="array" ref="EE12">IF(SUMPRODUCT(--($EC12=$X$2:$DX$2),--($X$9:$DX$9))&gt;=1,TRUE,FALSE)</f>
        <v>0</v>
      </c>
      <c r="EF12" s="29" t="str">
        <f>'CycleRAP Model'!K13</f>
        <v>GPS coordinates – longitude end</v>
      </c>
      <c r="EG12">
        <f>'CycleRAP Model'!O13</f>
        <v>-74.078021500000006</v>
      </c>
      <c r="EH12" s="335"/>
      <c r="EI12">
        <v>11</v>
      </c>
      <c r="EJ12" t="s">
        <v>283</v>
      </c>
      <c r="EK12" t="b">
        <f t="shared" si="5"/>
        <v>0</v>
      </c>
      <c r="EL12" t="str">
        <f t="shared" ref="EL12:EW21" ca="1" si="42">OFFSET($EF$1,MATCH(EL$1,$EF$2:$EF$59,0),1)</f>
        <v>Gabriel G</v>
      </c>
      <c r="EM12">
        <f t="shared" ca="1" si="42"/>
        <v>45076</v>
      </c>
      <c r="EN12">
        <f t="shared" ca="1" si="42"/>
        <v>45076</v>
      </c>
      <c r="EO12" t="str">
        <f t="shared" ca="1" si="42"/>
        <v>F004560</v>
      </c>
      <c r="EP12" t="str">
        <f t="shared" ca="1" si="42"/>
        <v>Carrera 30</v>
      </c>
      <c r="EQ12">
        <f t="shared" ca="1" si="42"/>
        <v>4560</v>
      </c>
      <c r="ER12">
        <f t="shared" ca="1" si="42"/>
        <v>0.01</v>
      </c>
      <c r="ES12">
        <f t="shared" ca="1" si="42"/>
        <v>4.6501536000000003</v>
      </c>
      <c r="ET12">
        <f t="shared" ca="1" si="42"/>
        <v>-74.078029700000002</v>
      </c>
      <c r="EU12">
        <f t="shared" ca="1" si="42"/>
        <v>4.6502423000000004</v>
      </c>
      <c r="EV12">
        <f t="shared" ca="1" si="42"/>
        <v>-74.078021500000006</v>
      </c>
      <c r="EW12" t="e">
        <f t="shared" ca="1" si="42"/>
        <v>#REF!</v>
      </c>
      <c r="EX12">
        <f t="shared" ref="EX12:FG21" ca="1" si="43">IF($EK12=FALSE,OFFSET($EF$1,MATCH(EX$1,$EF$2:$EF$507,0),1),IF($E12=EX$1,$F12,IF($J12=EX$1,$K12,IF($O12=EX$1,$P12,OFFSET($EF$1,MATCH(EX$1,$EF$2:$EF$507,0),1)))))</f>
        <v>2</v>
      </c>
      <c r="EY12">
        <f t="shared" ca="1" si="43"/>
        <v>3</v>
      </c>
      <c r="EZ12">
        <f t="shared" ca="1" si="43"/>
        <v>1</v>
      </c>
      <c r="FA12">
        <f t="shared" ca="1" si="43"/>
        <v>2</v>
      </c>
      <c r="FB12">
        <f t="shared" ca="1" si="43"/>
        <v>2</v>
      </c>
      <c r="FC12">
        <f t="shared" ca="1" si="43"/>
        <v>2</v>
      </c>
      <c r="FD12">
        <f t="shared" ca="1" si="43"/>
        <v>2</v>
      </c>
      <c r="FE12">
        <f t="shared" ca="1" si="43"/>
        <v>2</v>
      </c>
      <c r="FF12">
        <f t="shared" ca="1" si="43"/>
        <v>2</v>
      </c>
      <c r="FG12">
        <f t="shared" ca="1" si="43"/>
        <v>1</v>
      </c>
      <c r="FH12">
        <f t="shared" ref="FH12:FQ21" ca="1" si="44">IF($EK12=FALSE,OFFSET($EF$1,MATCH(FH$1,$EF$2:$EF$507,0),1),IF($E12=FH$1,$F12,IF($J12=FH$1,$K12,IF($O12=FH$1,$P12,OFFSET($EF$1,MATCH(FH$1,$EF$2:$EF$507,0),1)))))</f>
        <v>1</v>
      </c>
      <c r="FI12">
        <f t="shared" ca="1" si="44"/>
        <v>2</v>
      </c>
      <c r="FJ12">
        <f t="shared" ca="1" si="44"/>
        <v>2</v>
      </c>
      <c r="FK12">
        <f t="shared" ca="1" si="44"/>
        <v>2</v>
      </c>
      <c r="FL12">
        <f t="shared" ca="1" si="44"/>
        <v>2</v>
      </c>
      <c r="FM12">
        <f t="shared" ca="1" si="44"/>
        <v>2</v>
      </c>
      <c r="FN12">
        <f t="shared" ca="1" si="44"/>
        <v>1</v>
      </c>
      <c r="FO12">
        <f t="shared" ca="1" si="44"/>
        <v>1</v>
      </c>
      <c r="FP12">
        <f t="shared" ca="1" si="44"/>
        <v>2</v>
      </c>
      <c r="FQ12">
        <f t="shared" ca="1" si="44"/>
        <v>2</v>
      </c>
      <c r="FR12">
        <f t="shared" ref="FR12:GA21" ca="1" si="45">IF($EK12=FALSE,OFFSET($EF$1,MATCH(FR$1,$EF$2:$EF$507,0),1),IF($E12=FR$1,$F12,IF($J12=FR$1,$K12,IF($O12=FR$1,$P12,OFFSET($EF$1,MATCH(FR$1,$EF$2:$EF$507,0),1)))))</f>
        <v>2</v>
      </c>
      <c r="FS12">
        <f t="shared" ca="1" si="45"/>
        <v>2</v>
      </c>
      <c r="FT12">
        <f t="shared" ca="1" si="45"/>
        <v>2</v>
      </c>
      <c r="FU12">
        <f t="shared" ca="1" si="45"/>
        <v>1</v>
      </c>
      <c r="FV12">
        <f t="shared" ca="1" si="45"/>
        <v>2</v>
      </c>
      <c r="FW12">
        <f t="shared" ca="1" si="45"/>
        <v>1</v>
      </c>
      <c r="FX12">
        <f t="shared" ca="1" si="45"/>
        <v>2</v>
      </c>
      <c r="FY12">
        <f t="shared" ca="1" si="45"/>
        <v>2</v>
      </c>
      <c r="FZ12">
        <f t="shared" ca="1" si="45"/>
        <v>2</v>
      </c>
      <c r="GA12">
        <f t="shared" ca="1" si="45"/>
        <v>2</v>
      </c>
      <c r="GB12">
        <f t="shared" ref="GB12:GO21" ca="1" si="46">IF($EK12=FALSE,OFFSET($EF$1,MATCH(GB$1,$EF$2:$EF$507,0),1),IF($E12=GB$1,$F12,IF($J12=GB$1,$K12,IF($O12=GB$1,$P12,OFFSET($EF$1,MATCH(GB$1,$EF$2:$EF$507,0),1)))))</f>
        <v>2</v>
      </c>
      <c r="GC12">
        <f t="shared" ca="1" si="46"/>
        <v>2</v>
      </c>
      <c r="GD12">
        <f t="shared" ca="1" si="46"/>
        <v>1</v>
      </c>
      <c r="GE12">
        <f t="shared" ca="1" si="46"/>
        <v>2</v>
      </c>
      <c r="GF12">
        <f t="shared" ca="1" si="46"/>
        <v>3</v>
      </c>
      <c r="GG12">
        <f t="shared" ca="1" si="46"/>
        <v>2</v>
      </c>
      <c r="GH12">
        <f t="shared" ca="1" si="46"/>
        <v>2</v>
      </c>
      <c r="GI12">
        <f t="shared" ca="1" si="46"/>
        <v>1</v>
      </c>
      <c r="GJ12">
        <f t="shared" ca="1" si="46"/>
        <v>1</v>
      </c>
      <c r="GK12">
        <f t="shared" ca="1" si="46"/>
        <v>39500</v>
      </c>
      <c r="GL12">
        <f t="shared" ca="1" si="46"/>
        <v>2</v>
      </c>
      <c r="GM12">
        <f t="shared" ca="1" si="46"/>
        <v>50</v>
      </c>
      <c r="GN12">
        <f t="shared" ca="1" si="46"/>
        <v>42.47</v>
      </c>
      <c r="GO12">
        <f t="shared" ca="1" si="46"/>
        <v>0</v>
      </c>
      <c r="GP12" s="335"/>
    </row>
    <row r="13" spans="1:262" x14ac:dyDescent="0.25">
      <c r="A13" s="334"/>
      <c r="B13">
        <v>12</v>
      </c>
      <c r="C13" t="s">
        <v>299</v>
      </c>
      <c r="D13">
        <v>19</v>
      </c>
      <c r="E13" s="142" t="s">
        <v>31</v>
      </c>
      <c r="F13">
        <f>'Upload spec'!G34</f>
        <v>2</v>
      </c>
      <c r="G13" s="143" t="s">
        <v>22</v>
      </c>
      <c r="R13" s="335"/>
      <c r="S13" s="4" t="s">
        <v>73</v>
      </c>
      <c r="T13" t="s">
        <v>159</v>
      </c>
      <c r="U13" t="s">
        <v>144</v>
      </c>
      <c r="V13" t="str">
        <f>'CycleRAP Model'!O6</f>
        <v>F004560</v>
      </c>
      <c r="W13" s="158"/>
      <c r="X13" s="163"/>
      <c r="Y13" s="163"/>
      <c r="Z13" s="163"/>
      <c r="AA13" s="181"/>
      <c r="AB13" s="163"/>
      <c r="AC13" s="163"/>
      <c r="AD13" s="163"/>
      <c r="AE13" s="181"/>
      <c r="AF13" s="206"/>
      <c r="AG13" s="195"/>
      <c r="AH13" s="195"/>
      <c r="AI13" s="206"/>
      <c r="AJ13" s="195"/>
      <c r="AK13" s="195"/>
      <c r="AL13" s="195"/>
      <c r="AM13" s="195"/>
      <c r="AN13" s="195"/>
      <c r="AO13" s="195"/>
      <c r="AP13" s="195"/>
      <c r="AQ13" s="195"/>
      <c r="AR13" s="195"/>
      <c r="AS13" s="195"/>
      <c r="AT13" s="195"/>
      <c r="AU13" s="195"/>
      <c r="AV13" s="206"/>
      <c r="AW13" s="195"/>
      <c r="AX13" s="195"/>
      <c r="AY13" s="195"/>
      <c r="AZ13" s="195"/>
      <c r="BA13" s="195"/>
      <c r="BB13" s="195"/>
      <c r="BC13" s="195"/>
      <c r="BD13" s="195"/>
      <c r="BE13" s="195"/>
      <c r="BF13" s="195"/>
      <c r="BG13" s="195"/>
      <c r="BH13" s="195"/>
      <c r="BI13" s="195"/>
      <c r="BJ13" s="195"/>
      <c r="BK13" s="195"/>
      <c r="BL13" s="195"/>
      <c r="BM13" s="195"/>
      <c r="BN13" s="195"/>
      <c r="BO13" s="195"/>
      <c r="BP13" s="195"/>
      <c r="BQ13" s="195"/>
      <c r="BR13" s="195"/>
      <c r="BS13" s="195"/>
      <c r="BT13" s="195"/>
      <c r="BU13" s="195"/>
      <c r="BV13" s="195"/>
      <c r="BW13" s="195"/>
      <c r="BX13" s="195"/>
      <c r="BY13" s="195"/>
      <c r="BZ13" s="195"/>
      <c r="CA13" s="195"/>
      <c r="CB13" s="195"/>
      <c r="CC13" s="195"/>
      <c r="CD13" s="195"/>
      <c r="CE13" s="195"/>
      <c r="CF13" s="195"/>
      <c r="CG13" s="195"/>
      <c r="CH13" s="195"/>
      <c r="CI13" s="195"/>
      <c r="CJ13" s="195"/>
      <c r="CK13" s="195"/>
      <c r="CL13" s="195"/>
      <c r="CM13" s="195"/>
      <c r="CN13" s="195"/>
      <c r="CO13" s="195"/>
      <c r="CP13" s="195"/>
      <c r="CQ13" s="195"/>
      <c r="CR13" s="195"/>
      <c r="CS13" s="195"/>
      <c r="CT13" s="195"/>
      <c r="CU13" s="195"/>
      <c r="CV13" s="195"/>
      <c r="CW13" s="195"/>
      <c r="CX13" s="195"/>
      <c r="CY13" s="195"/>
      <c r="CZ13" s="195"/>
      <c r="DA13" s="195"/>
      <c r="DB13" s="195"/>
      <c r="DC13" s="195"/>
      <c r="DD13" s="195"/>
      <c r="DE13" s="195"/>
      <c r="DF13" s="195"/>
      <c r="DG13" s="195"/>
      <c r="DH13" s="195"/>
      <c r="DI13" s="195"/>
      <c r="DJ13" s="195"/>
      <c r="DK13" s="195"/>
      <c r="DL13" s="195"/>
      <c r="DM13" s="195"/>
      <c r="DN13" s="195"/>
      <c r="DO13" s="195"/>
      <c r="DP13" s="195"/>
      <c r="DQ13" s="195"/>
      <c r="DR13" s="195"/>
      <c r="DS13" s="195"/>
      <c r="DT13" s="195"/>
      <c r="DU13" s="195"/>
      <c r="DV13" s="195"/>
      <c r="DW13" s="195"/>
      <c r="DX13" s="195"/>
      <c r="EB13" s="335"/>
      <c r="EC13">
        <v>12</v>
      </c>
      <c r="ED13" t="s">
        <v>299</v>
      </c>
      <c r="EE13" t="b" cm="1">
        <f t="array" ref="EE13">IF(SUMPRODUCT(--($EC13=$X$2:$DX$2),--($X$9:$DX$9))&gt;=1,TRUE,FALSE)</f>
        <v>0</v>
      </c>
      <c r="EF13" s="29" t="str">
        <f>'CycleRAP Model'!K14</f>
        <v>Comments</v>
      </c>
      <c r="EG13" t="e">
        <f>'CycleRAP Model'!O14</f>
        <v>#REF!</v>
      </c>
      <c r="EH13" s="335"/>
      <c r="EI13">
        <v>12</v>
      </c>
      <c r="EJ13" t="s">
        <v>299</v>
      </c>
      <c r="EK13" t="b">
        <f t="shared" si="5"/>
        <v>0</v>
      </c>
      <c r="EL13" t="str">
        <f t="shared" ca="1" si="42"/>
        <v>Gabriel G</v>
      </c>
      <c r="EM13">
        <f t="shared" ca="1" si="42"/>
        <v>45076</v>
      </c>
      <c r="EN13">
        <f t="shared" ca="1" si="42"/>
        <v>45076</v>
      </c>
      <c r="EO13" t="str">
        <f t="shared" ca="1" si="42"/>
        <v>F004560</v>
      </c>
      <c r="EP13" t="str">
        <f t="shared" ca="1" si="42"/>
        <v>Carrera 30</v>
      </c>
      <c r="EQ13">
        <f t="shared" ca="1" si="42"/>
        <v>4560</v>
      </c>
      <c r="ER13">
        <f t="shared" ca="1" si="42"/>
        <v>0.01</v>
      </c>
      <c r="ES13">
        <f t="shared" ca="1" si="42"/>
        <v>4.6501536000000003</v>
      </c>
      <c r="ET13">
        <f t="shared" ca="1" si="42"/>
        <v>-74.078029700000002</v>
      </c>
      <c r="EU13">
        <f t="shared" ca="1" si="42"/>
        <v>4.6502423000000004</v>
      </c>
      <c r="EV13">
        <f t="shared" ca="1" si="42"/>
        <v>-74.078021500000006</v>
      </c>
      <c r="EW13" t="e">
        <f t="shared" ca="1" si="42"/>
        <v>#REF!</v>
      </c>
      <c r="EX13">
        <f t="shared" ca="1" si="43"/>
        <v>2</v>
      </c>
      <c r="EY13">
        <f t="shared" ca="1" si="43"/>
        <v>3</v>
      </c>
      <c r="EZ13">
        <f t="shared" ca="1" si="43"/>
        <v>1</v>
      </c>
      <c r="FA13">
        <f t="shared" ca="1" si="43"/>
        <v>2</v>
      </c>
      <c r="FB13">
        <f t="shared" ca="1" si="43"/>
        <v>2</v>
      </c>
      <c r="FC13">
        <f t="shared" ca="1" si="43"/>
        <v>2</v>
      </c>
      <c r="FD13">
        <f t="shared" ca="1" si="43"/>
        <v>2</v>
      </c>
      <c r="FE13">
        <f t="shared" ca="1" si="43"/>
        <v>2</v>
      </c>
      <c r="FF13">
        <f t="shared" ca="1" si="43"/>
        <v>2</v>
      </c>
      <c r="FG13">
        <f t="shared" ca="1" si="43"/>
        <v>1</v>
      </c>
      <c r="FH13">
        <f t="shared" ca="1" si="44"/>
        <v>1</v>
      </c>
      <c r="FI13">
        <f t="shared" ca="1" si="44"/>
        <v>2</v>
      </c>
      <c r="FJ13">
        <f t="shared" ca="1" si="44"/>
        <v>2</v>
      </c>
      <c r="FK13">
        <f t="shared" ca="1" si="44"/>
        <v>2</v>
      </c>
      <c r="FL13">
        <f t="shared" ca="1" si="44"/>
        <v>2</v>
      </c>
      <c r="FM13">
        <f t="shared" ca="1" si="44"/>
        <v>2</v>
      </c>
      <c r="FN13">
        <f t="shared" ca="1" si="44"/>
        <v>1</v>
      </c>
      <c r="FO13">
        <f t="shared" ca="1" si="44"/>
        <v>1</v>
      </c>
      <c r="FP13">
        <f t="shared" ca="1" si="44"/>
        <v>2</v>
      </c>
      <c r="FQ13">
        <f t="shared" ca="1" si="44"/>
        <v>2</v>
      </c>
      <c r="FR13">
        <f t="shared" ca="1" si="45"/>
        <v>2</v>
      </c>
      <c r="FS13">
        <f t="shared" ca="1" si="45"/>
        <v>2</v>
      </c>
      <c r="FT13">
        <f t="shared" ca="1" si="45"/>
        <v>2</v>
      </c>
      <c r="FU13">
        <f t="shared" ca="1" si="45"/>
        <v>1</v>
      </c>
      <c r="FV13">
        <f t="shared" ca="1" si="45"/>
        <v>2</v>
      </c>
      <c r="FW13">
        <f t="shared" ca="1" si="45"/>
        <v>1</v>
      </c>
      <c r="FX13">
        <f t="shared" ca="1" si="45"/>
        <v>2</v>
      </c>
      <c r="FY13">
        <f t="shared" ca="1" si="45"/>
        <v>2</v>
      </c>
      <c r="FZ13">
        <f t="shared" ca="1" si="45"/>
        <v>2</v>
      </c>
      <c r="GA13">
        <f t="shared" ca="1" si="45"/>
        <v>2</v>
      </c>
      <c r="GB13">
        <f t="shared" ca="1" si="46"/>
        <v>2</v>
      </c>
      <c r="GC13">
        <f t="shared" ca="1" si="46"/>
        <v>2</v>
      </c>
      <c r="GD13">
        <f t="shared" ca="1" si="46"/>
        <v>1</v>
      </c>
      <c r="GE13">
        <f t="shared" ca="1" si="46"/>
        <v>2</v>
      </c>
      <c r="GF13">
        <f t="shared" ca="1" si="46"/>
        <v>3</v>
      </c>
      <c r="GG13">
        <f t="shared" ca="1" si="46"/>
        <v>2</v>
      </c>
      <c r="GH13">
        <f t="shared" ca="1" si="46"/>
        <v>2</v>
      </c>
      <c r="GI13">
        <f t="shared" ca="1" si="46"/>
        <v>1</v>
      </c>
      <c r="GJ13">
        <f t="shared" ca="1" si="46"/>
        <v>1</v>
      </c>
      <c r="GK13">
        <f t="shared" ca="1" si="46"/>
        <v>39500</v>
      </c>
      <c r="GL13">
        <f t="shared" ca="1" si="46"/>
        <v>2</v>
      </c>
      <c r="GM13">
        <f t="shared" ca="1" si="46"/>
        <v>50</v>
      </c>
      <c r="GN13">
        <f t="shared" ca="1" si="46"/>
        <v>42.47</v>
      </c>
      <c r="GO13">
        <f t="shared" ca="1" si="46"/>
        <v>0</v>
      </c>
      <c r="GP13" s="335"/>
    </row>
    <row r="14" spans="1:262" ht="22.8" x14ac:dyDescent="0.25">
      <c r="A14" s="334"/>
      <c r="B14">
        <v>13</v>
      </c>
      <c r="C14" t="s">
        <v>300</v>
      </c>
      <c r="D14">
        <v>20</v>
      </c>
      <c r="E14" s="142" t="s">
        <v>33</v>
      </c>
      <c r="F14">
        <f>'Upload spec'!G36</f>
        <v>2</v>
      </c>
      <c r="G14" s="143" t="s">
        <v>22</v>
      </c>
      <c r="R14" s="335"/>
      <c r="S14" s="4" t="s">
        <v>77</v>
      </c>
      <c r="T14" t="s">
        <v>145</v>
      </c>
      <c r="U14" t="s">
        <v>144</v>
      </c>
      <c r="V14" t="str">
        <f>'CycleRAP Model'!O7</f>
        <v>Carrera 30</v>
      </c>
      <c r="W14" s="158"/>
      <c r="X14" s="163"/>
      <c r="Y14" s="163"/>
      <c r="Z14" s="163"/>
      <c r="AA14" s="181"/>
      <c r="AB14" s="163"/>
      <c r="AC14" s="163"/>
      <c r="AD14" s="163"/>
      <c r="AE14" s="181"/>
      <c r="AF14" s="206"/>
      <c r="AG14" s="195"/>
      <c r="AH14" s="195"/>
      <c r="AI14" s="206"/>
      <c r="AJ14" s="195"/>
      <c r="AK14" s="195"/>
      <c r="AL14" s="195"/>
      <c r="AM14" s="195"/>
      <c r="AN14" s="195"/>
      <c r="AO14" s="195"/>
      <c r="AP14" s="195"/>
      <c r="AQ14" s="195"/>
      <c r="AR14" s="195"/>
      <c r="AS14" s="195"/>
      <c r="AT14" s="195"/>
      <c r="AU14" s="195"/>
      <c r="AV14" s="206"/>
      <c r="AW14" s="195"/>
      <c r="AX14" s="195"/>
      <c r="AY14" s="195"/>
      <c r="AZ14" s="195"/>
      <c r="BA14" s="195"/>
      <c r="BB14" s="195"/>
      <c r="BC14" s="195"/>
      <c r="BD14" s="195"/>
      <c r="BE14" s="195"/>
      <c r="BF14" s="195"/>
      <c r="BG14" s="195"/>
      <c r="BH14" s="195"/>
      <c r="BI14" s="195"/>
      <c r="BJ14" s="195"/>
      <c r="BK14" s="195"/>
      <c r="BL14" s="195"/>
      <c r="BM14" s="195"/>
      <c r="BN14" s="195"/>
      <c r="BO14" s="195"/>
      <c r="BP14" s="195"/>
      <c r="BQ14" s="195"/>
      <c r="BR14" s="195"/>
      <c r="BS14" s="195"/>
      <c r="BT14" s="195"/>
      <c r="BU14" s="195"/>
      <c r="BV14" s="195"/>
      <c r="BW14" s="195"/>
      <c r="BX14" s="195"/>
      <c r="BY14" s="195"/>
      <c r="BZ14" s="195"/>
      <c r="CA14" s="195"/>
      <c r="CB14" s="195"/>
      <c r="CC14" s="195"/>
      <c r="CD14" s="195"/>
      <c r="CE14" s="195"/>
      <c r="CF14" s="195"/>
      <c r="CG14" s="195"/>
      <c r="CH14" s="195"/>
      <c r="CI14" s="195"/>
      <c r="CJ14" s="195"/>
      <c r="CK14" s="195"/>
      <c r="CL14" s="195"/>
      <c r="CM14" s="195"/>
      <c r="CN14" s="195"/>
      <c r="CO14" s="195"/>
      <c r="CP14" s="195"/>
      <c r="CQ14" s="195"/>
      <c r="CR14" s="195"/>
      <c r="CS14" s="195"/>
      <c r="CT14" s="195"/>
      <c r="CU14" s="195"/>
      <c r="CV14" s="195"/>
      <c r="CW14" s="195"/>
      <c r="CX14" s="195"/>
      <c r="CY14" s="195"/>
      <c r="CZ14" s="195"/>
      <c r="DA14" s="195"/>
      <c r="DB14" s="195"/>
      <c r="DC14" s="195"/>
      <c r="DD14" s="195"/>
      <c r="DE14" s="195"/>
      <c r="DF14" s="195"/>
      <c r="DG14" s="195"/>
      <c r="DH14" s="195"/>
      <c r="DI14" s="195"/>
      <c r="DJ14" s="195"/>
      <c r="DK14" s="195"/>
      <c r="DL14" s="195"/>
      <c r="DM14" s="195"/>
      <c r="DN14" s="195"/>
      <c r="DO14" s="195"/>
      <c r="DP14" s="195"/>
      <c r="DQ14" s="195"/>
      <c r="DR14" s="195"/>
      <c r="DS14" s="195"/>
      <c r="DT14" s="195"/>
      <c r="DU14" s="195"/>
      <c r="DV14" s="195"/>
      <c r="DW14" s="195"/>
      <c r="DX14" s="195"/>
      <c r="EB14" s="335"/>
      <c r="EC14">
        <v>13</v>
      </c>
      <c r="ED14" t="s">
        <v>300</v>
      </c>
      <c r="EE14" t="b" cm="1">
        <f t="array" ref="EE14">IF(SUMPRODUCT(--($EC14=$X$2:$DX$2),--($X$9:$DX$9))&gt;=1,TRUE,FALSE)</f>
        <v>0</v>
      </c>
      <c r="EF14" s="29" t="str">
        <f>'CycleRAP Model'!K15</f>
        <v>Area type</v>
      </c>
      <c r="EG14">
        <f>'CycleRAP Model'!O15</f>
        <v>2</v>
      </c>
      <c r="EH14" s="335"/>
      <c r="EI14">
        <v>13</v>
      </c>
      <c r="EJ14" t="s">
        <v>300</v>
      </c>
      <c r="EK14" t="b">
        <f t="shared" si="5"/>
        <v>0</v>
      </c>
      <c r="EL14" t="str">
        <f t="shared" ca="1" si="42"/>
        <v>Gabriel G</v>
      </c>
      <c r="EM14">
        <f t="shared" ca="1" si="42"/>
        <v>45076</v>
      </c>
      <c r="EN14">
        <f t="shared" ca="1" si="42"/>
        <v>45076</v>
      </c>
      <c r="EO14" t="str">
        <f t="shared" ca="1" si="42"/>
        <v>F004560</v>
      </c>
      <c r="EP14" t="str">
        <f t="shared" ca="1" si="42"/>
        <v>Carrera 30</v>
      </c>
      <c r="EQ14">
        <f t="shared" ca="1" si="42"/>
        <v>4560</v>
      </c>
      <c r="ER14">
        <f t="shared" ca="1" si="42"/>
        <v>0.01</v>
      </c>
      <c r="ES14">
        <f t="shared" ca="1" si="42"/>
        <v>4.6501536000000003</v>
      </c>
      <c r="ET14">
        <f t="shared" ca="1" si="42"/>
        <v>-74.078029700000002</v>
      </c>
      <c r="EU14">
        <f t="shared" ca="1" si="42"/>
        <v>4.6502423000000004</v>
      </c>
      <c r="EV14">
        <f t="shared" ca="1" si="42"/>
        <v>-74.078021500000006</v>
      </c>
      <c r="EW14" t="e">
        <f t="shared" ca="1" si="42"/>
        <v>#REF!</v>
      </c>
      <c r="EX14">
        <f t="shared" ca="1" si="43"/>
        <v>2</v>
      </c>
      <c r="EY14">
        <f t="shared" ca="1" si="43"/>
        <v>3</v>
      </c>
      <c r="EZ14">
        <f t="shared" ca="1" si="43"/>
        <v>1</v>
      </c>
      <c r="FA14">
        <f t="shared" ca="1" si="43"/>
        <v>2</v>
      </c>
      <c r="FB14">
        <f t="shared" ca="1" si="43"/>
        <v>2</v>
      </c>
      <c r="FC14">
        <f t="shared" ca="1" si="43"/>
        <v>2</v>
      </c>
      <c r="FD14">
        <f t="shared" ca="1" si="43"/>
        <v>2</v>
      </c>
      <c r="FE14">
        <f t="shared" ca="1" si="43"/>
        <v>2</v>
      </c>
      <c r="FF14">
        <f t="shared" ca="1" si="43"/>
        <v>2</v>
      </c>
      <c r="FG14">
        <f t="shared" ca="1" si="43"/>
        <v>1</v>
      </c>
      <c r="FH14">
        <f t="shared" ca="1" si="44"/>
        <v>1</v>
      </c>
      <c r="FI14">
        <f t="shared" ca="1" si="44"/>
        <v>2</v>
      </c>
      <c r="FJ14">
        <f t="shared" ca="1" si="44"/>
        <v>2</v>
      </c>
      <c r="FK14">
        <f t="shared" ca="1" si="44"/>
        <v>2</v>
      </c>
      <c r="FL14">
        <f t="shared" ca="1" si="44"/>
        <v>2</v>
      </c>
      <c r="FM14">
        <f t="shared" ca="1" si="44"/>
        <v>2</v>
      </c>
      <c r="FN14">
        <f t="shared" ca="1" si="44"/>
        <v>1</v>
      </c>
      <c r="FO14">
        <f t="shared" ca="1" si="44"/>
        <v>1</v>
      </c>
      <c r="FP14">
        <f t="shared" ca="1" si="44"/>
        <v>2</v>
      </c>
      <c r="FQ14">
        <f t="shared" ca="1" si="44"/>
        <v>2</v>
      </c>
      <c r="FR14">
        <f t="shared" ca="1" si="45"/>
        <v>2</v>
      </c>
      <c r="FS14">
        <f t="shared" ca="1" si="45"/>
        <v>2</v>
      </c>
      <c r="FT14">
        <f t="shared" ca="1" si="45"/>
        <v>2</v>
      </c>
      <c r="FU14">
        <f t="shared" ca="1" si="45"/>
        <v>1</v>
      </c>
      <c r="FV14">
        <f t="shared" ca="1" si="45"/>
        <v>2</v>
      </c>
      <c r="FW14">
        <f t="shared" ca="1" si="45"/>
        <v>1</v>
      </c>
      <c r="FX14">
        <f t="shared" ca="1" si="45"/>
        <v>2</v>
      </c>
      <c r="FY14">
        <f t="shared" ca="1" si="45"/>
        <v>2</v>
      </c>
      <c r="FZ14">
        <f t="shared" ca="1" si="45"/>
        <v>2</v>
      </c>
      <c r="GA14">
        <f t="shared" ca="1" si="45"/>
        <v>2</v>
      </c>
      <c r="GB14">
        <f t="shared" ca="1" si="46"/>
        <v>2</v>
      </c>
      <c r="GC14">
        <f t="shared" ca="1" si="46"/>
        <v>2</v>
      </c>
      <c r="GD14">
        <f t="shared" ca="1" si="46"/>
        <v>1</v>
      </c>
      <c r="GE14">
        <f t="shared" ca="1" si="46"/>
        <v>2</v>
      </c>
      <c r="GF14">
        <f t="shared" ca="1" si="46"/>
        <v>3</v>
      </c>
      <c r="GG14">
        <f t="shared" ca="1" si="46"/>
        <v>2</v>
      </c>
      <c r="GH14">
        <f t="shared" ca="1" si="46"/>
        <v>2</v>
      </c>
      <c r="GI14">
        <f t="shared" ca="1" si="46"/>
        <v>1</v>
      </c>
      <c r="GJ14">
        <f t="shared" ca="1" si="46"/>
        <v>1</v>
      </c>
      <c r="GK14">
        <f t="shared" ca="1" si="46"/>
        <v>39500</v>
      </c>
      <c r="GL14">
        <f t="shared" ca="1" si="46"/>
        <v>2</v>
      </c>
      <c r="GM14">
        <f t="shared" ca="1" si="46"/>
        <v>50</v>
      </c>
      <c r="GN14">
        <f t="shared" ca="1" si="46"/>
        <v>42.47</v>
      </c>
      <c r="GO14">
        <f t="shared" ca="1" si="46"/>
        <v>0</v>
      </c>
      <c r="GP14" s="335"/>
    </row>
    <row r="15" spans="1:262" x14ac:dyDescent="0.25">
      <c r="A15" s="334"/>
      <c r="B15">
        <v>14</v>
      </c>
      <c r="C15" t="s">
        <v>301</v>
      </c>
      <c r="D15">
        <v>25</v>
      </c>
      <c r="E15" s="142" t="s">
        <v>47</v>
      </c>
      <c r="F15">
        <f>'Upload spec'!G47</f>
        <v>2</v>
      </c>
      <c r="G15" s="143" t="s">
        <v>22</v>
      </c>
      <c r="R15" s="335"/>
      <c r="S15" s="4" t="s">
        <v>78</v>
      </c>
      <c r="T15" t="s">
        <v>165</v>
      </c>
      <c r="U15" t="s">
        <v>144</v>
      </c>
      <c r="V15">
        <f>'CycleRAP Model'!O8</f>
        <v>4560</v>
      </c>
      <c r="W15" s="158"/>
      <c r="X15" s="163"/>
      <c r="Y15" s="163"/>
      <c r="Z15" s="163"/>
      <c r="AA15" s="181"/>
      <c r="AB15" s="163"/>
      <c r="AC15" s="163"/>
      <c r="AD15" s="163"/>
      <c r="AE15" s="181"/>
      <c r="AF15" s="206"/>
      <c r="AG15" s="195"/>
      <c r="AH15" s="195"/>
      <c r="AI15" s="206"/>
      <c r="AJ15" s="195"/>
      <c r="AK15" s="195"/>
      <c r="AL15" s="195"/>
      <c r="AM15" s="195"/>
      <c r="AN15" s="195"/>
      <c r="AO15" s="195"/>
      <c r="AP15" s="195"/>
      <c r="AQ15" s="195"/>
      <c r="AR15" s="195"/>
      <c r="AS15" s="195"/>
      <c r="AT15" s="195"/>
      <c r="AU15" s="195"/>
      <c r="AV15" s="206"/>
      <c r="AW15" s="195"/>
      <c r="AX15" s="195"/>
      <c r="AY15" s="195"/>
      <c r="AZ15" s="195"/>
      <c r="BA15" s="195"/>
      <c r="BB15" s="195"/>
      <c r="BC15" s="195"/>
      <c r="BD15" s="195"/>
      <c r="BE15" s="195"/>
      <c r="BF15" s="195"/>
      <c r="BG15" s="195"/>
      <c r="BH15" s="195"/>
      <c r="BI15" s="195"/>
      <c r="BJ15" s="195"/>
      <c r="BK15" s="195"/>
      <c r="BL15" s="195"/>
      <c r="BM15" s="195"/>
      <c r="BN15" s="195"/>
      <c r="BO15" s="195"/>
      <c r="BP15" s="195"/>
      <c r="BQ15" s="195"/>
      <c r="BR15" s="195"/>
      <c r="BS15" s="195"/>
      <c r="BT15" s="195"/>
      <c r="BU15" s="195"/>
      <c r="BV15" s="195"/>
      <c r="BW15" s="195"/>
      <c r="BX15" s="195"/>
      <c r="BY15" s="195"/>
      <c r="BZ15" s="195"/>
      <c r="CA15" s="195"/>
      <c r="CB15" s="195"/>
      <c r="CC15" s="195"/>
      <c r="CD15" s="195"/>
      <c r="CE15" s="195"/>
      <c r="CF15" s="195"/>
      <c r="CG15" s="195"/>
      <c r="CH15" s="195"/>
      <c r="CI15" s="195"/>
      <c r="CJ15" s="195"/>
      <c r="CK15" s="195"/>
      <c r="CL15" s="195"/>
      <c r="CM15" s="195"/>
      <c r="CN15" s="195"/>
      <c r="CO15" s="195"/>
      <c r="CP15" s="195"/>
      <c r="CQ15" s="195"/>
      <c r="CR15" s="195"/>
      <c r="CS15" s="195"/>
      <c r="CT15" s="195"/>
      <c r="CU15" s="195"/>
      <c r="CV15" s="195"/>
      <c r="CW15" s="195"/>
      <c r="CX15" s="195"/>
      <c r="CY15" s="195"/>
      <c r="CZ15" s="195"/>
      <c r="DA15" s="195"/>
      <c r="DB15" s="195"/>
      <c r="DC15" s="195"/>
      <c r="DD15" s="195"/>
      <c r="DE15" s="195"/>
      <c r="DF15" s="195"/>
      <c r="DG15" s="195"/>
      <c r="DH15" s="195"/>
      <c r="DI15" s="195"/>
      <c r="DJ15" s="195"/>
      <c r="DK15" s="195"/>
      <c r="DL15" s="195"/>
      <c r="DM15" s="195"/>
      <c r="DN15" s="195"/>
      <c r="DO15" s="195"/>
      <c r="DP15" s="195"/>
      <c r="DQ15" s="195"/>
      <c r="DR15" s="195"/>
      <c r="DS15" s="195"/>
      <c r="DT15" s="195"/>
      <c r="DU15" s="195"/>
      <c r="DV15" s="195"/>
      <c r="DW15" s="195"/>
      <c r="DX15" s="195"/>
      <c r="EB15" s="335"/>
      <c r="EC15">
        <v>14</v>
      </c>
      <c r="ED15" t="s">
        <v>301</v>
      </c>
      <c r="EE15" t="b" cm="1">
        <f t="array" ref="EE15">IF(SUMPRODUCT(--($EC15=$X$2:$DX$2),--($X$9:$DX$9))&gt;=1,TRUE,FALSE)</f>
        <v>0</v>
      </c>
      <c r="EF15" s="29" t="str">
        <f>'CycleRAP Model'!K16</f>
        <v>Facility type</v>
      </c>
      <c r="EG15">
        <f>'CycleRAP Model'!O16</f>
        <v>3</v>
      </c>
      <c r="EH15" s="335"/>
      <c r="EI15">
        <v>14</v>
      </c>
      <c r="EJ15" t="s">
        <v>301</v>
      </c>
      <c r="EK15" t="b">
        <f t="shared" si="5"/>
        <v>0</v>
      </c>
      <c r="EL15" t="str">
        <f t="shared" ca="1" si="42"/>
        <v>Gabriel G</v>
      </c>
      <c r="EM15">
        <f t="shared" ca="1" si="42"/>
        <v>45076</v>
      </c>
      <c r="EN15">
        <f t="shared" ca="1" si="42"/>
        <v>45076</v>
      </c>
      <c r="EO15" t="str">
        <f t="shared" ca="1" si="42"/>
        <v>F004560</v>
      </c>
      <c r="EP15" t="str">
        <f t="shared" ca="1" si="42"/>
        <v>Carrera 30</v>
      </c>
      <c r="EQ15">
        <f t="shared" ca="1" si="42"/>
        <v>4560</v>
      </c>
      <c r="ER15">
        <f t="shared" ca="1" si="42"/>
        <v>0.01</v>
      </c>
      <c r="ES15">
        <f t="shared" ca="1" si="42"/>
        <v>4.6501536000000003</v>
      </c>
      <c r="ET15">
        <f t="shared" ca="1" si="42"/>
        <v>-74.078029700000002</v>
      </c>
      <c r="EU15">
        <f t="shared" ca="1" si="42"/>
        <v>4.6502423000000004</v>
      </c>
      <c r="EV15">
        <f t="shared" ca="1" si="42"/>
        <v>-74.078021500000006</v>
      </c>
      <c r="EW15" t="e">
        <f t="shared" ca="1" si="42"/>
        <v>#REF!</v>
      </c>
      <c r="EX15">
        <f t="shared" ca="1" si="43"/>
        <v>2</v>
      </c>
      <c r="EY15">
        <f t="shared" ca="1" si="43"/>
        <v>3</v>
      </c>
      <c r="EZ15">
        <f t="shared" ca="1" si="43"/>
        <v>1</v>
      </c>
      <c r="FA15">
        <f t="shared" ca="1" si="43"/>
        <v>2</v>
      </c>
      <c r="FB15">
        <f t="shared" ca="1" si="43"/>
        <v>2</v>
      </c>
      <c r="FC15">
        <f t="shared" ca="1" si="43"/>
        <v>2</v>
      </c>
      <c r="FD15">
        <f t="shared" ca="1" si="43"/>
        <v>2</v>
      </c>
      <c r="FE15">
        <f t="shared" ca="1" si="43"/>
        <v>2</v>
      </c>
      <c r="FF15">
        <f t="shared" ca="1" si="43"/>
        <v>2</v>
      </c>
      <c r="FG15">
        <f t="shared" ca="1" si="43"/>
        <v>1</v>
      </c>
      <c r="FH15">
        <f t="shared" ca="1" si="44"/>
        <v>1</v>
      </c>
      <c r="FI15">
        <f t="shared" ca="1" si="44"/>
        <v>2</v>
      </c>
      <c r="FJ15">
        <f t="shared" ca="1" si="44"/>
        <v>2</v>
      </c>
      <c r="FK15">
        <f t="shared" ca="1" si="44"/>
        <v>2</v>
      </c>
      <c r="FL15">
        <f t="shared" ca="1" si="44"/>
        <v>2</v>
      </c>
      <c r="FM15">
        <f t="shared" ca="1" si="44"/>
        <v>2</v>
      </c>
      <c r="FN15">
        <f t="shared" ca="1" si="44"/>
        <v>1</v>
      </c>
      <c r="FO15">
        <f t="shared" ca="1" si="44"/>
        <v>1</v>
      </c>
      <c r="FP15">
        <f t="shared" ca="1" si="44"/>
        <v>2</v>
      </c>
      <c r="FQ15">
        <f t="shared" ca="1" si="44"/>
        <v>2</v>
      </c>
      <c r="FR15">
        <f t="shared" ca="1" si="45"/>
        <v>2</v>
      </c>
      <c r="FS15">
        <f t="shared" ca="1" si="45"/>
        <v>2</v>
      </c>
      <c r="FT15">
        <f t="shared" ca="1" si="45"/>
        <v>2</v>
      </c>
      <c r="FU15">
        <f t="shared" ca="1" si="45"/>
        <v>1</v>
      </c>
      <c r="FV15">
        <f t="shared" ca="1" si="45"/>
        <v>2</v>
      </c>
      <c r="FW15">
        <f t="shared" ca="1" si="45"/>
        <v>1</v>
      </c>
      <c r="FX15">
        <f t="shared" ca="1" si="45"/>
        <v>2</v>
      </c>
      <c r="FY15">
        <f t="shared" ca="1" si="45"/>
        <v>2</v>
      </c>
      <c r="FZ15">
        <f t="shared" ca="1" si="45"/>
        <v>2</v>
      </c>
      <c r="GA15">
        <f t="shared" ca="1" si="45"/>
        <v>2</v>
      </c>
      <c r="GB15">
        <f t="shared" ca="1" si="46"/>
        <v>2</v>
      </c>
      <c r="GC15">
        <f t="shared" ca="1" si="46"/>
        <v>2</v>
      </c>
      <c r="GD15">
        <f t="shared" ca="1" si="46"/>
        <v>1</v>
      </c>
      <c r="GE15">
        <f t="shared" ca="1" si="46"/>
        <v>2</v>
      </c>
      <c r="GF15">
        <f t="shared" ca="1" si="46"/>
        <v>3</v>
      </c>
      <c r="GG15">
        <f t="shared" ca="1" si="46"/>
        <v>2</v>
      </c>
      <c r="GH15">
        <f t="shared" ca="1" si="46"/>
        <v>2</v>
      </c>
      <c r="GI15">
        <f t="shared" ca="1" si="46"/>
        <v>1</v>
      </c>
      <c r="GJ15">
        <f t="shared" ca="1" si="46"/>
        <v>1</v>
      </c>
      <c r="GK15">
        <f t="shared" ca="1" si="46"/>
        <v>39500</v>
      </c>
      <c r="GL15">
        <f t="shared" ca="1" si="46"/>
        <v>2</v>
      </c>
      <c r="GM15">
        <f t="shared" ca="1" si="46"/>
        <v>50</v>
      </c>
      <c r="GN15">
        <f t="shared" ca="1" si="46"/>
        <v>42.47</v>
      </c>
      <c r="GO15">
        <f t="shared" ca="1" si="46"/>
        <v>0</v>
      </c>
      <c r="GP15" s="335"/>
    </row>
    <row r="16" spans="1:262" x14ac:dyDescent="0.25">
      <c r="A16" s="334"/>
      <c r="B16">
        <v>15</v>
      </c>
      <c r="C16" t="s">
        <v>302</v>
      </c>
      <c r="D16">
        <v>15</v>
      </c>
      <c r="E16" s="142" t="s">
        <v>19</v>
      </c>
      <c r="F16">
        <f>'Upload spec'!G25</f>
        <v>1</v>
      </c>
      <c r="G16" s="143" t="s">
        <v>151</v>
      </c>
      <c r="R16" s="335"/>
      <c r="S16" s="4" t="s">
        <v>79</v>
      </c>
      <c r="T16" t="s">
        <v>169</v>
      </c>
      <c r="U16" t="s">
        <v>144</v>
      </c>
      <c r="V16">
        <f>'CycleRAP Model'!O9</f>
        <v>0.01</v>
      </c>
      <c r="W16" s="158"/>
      <c r="X16" s="163"/>
      <c r="Y16" s="163"/>
      <c r="Z16" s="163"/>
      <c r="AA16" s="181"/>
      <c r="AB16" s="163"/>
      <c r="AC16" s="163"/>
      <c r="AD16" s="163"/>
      <c r="AE16" s="181"/>
      <c r="AF16" s="206"/>
      <c r="AG16" s="195"/>
      <c r="AH16" s="195"/>
      <c r="AI16" s="206"/>
      <c r="AJ16" s="195"/>
      <c r="AK16" s="195"/>
      <c r="AL16" s="195"/>
      <c r="AM16" s="195"/>
      <c r="AN16" s="195"/>
      <c r="AO16" s="195"/>
      <c r="AP16" s="195"/>
      <c r="AQ16" s="195"/>
      <c r="AR16" s="195"/>
      <c r="AS16" s="195"/>
      <c r="AT16" s="195"/>
      <c r="AU16" s="195"/>
      <c r="AV16" s="206"/>
      <c r="AW16" s="195"/>
      <c r="AX16" s="195"/>
      <c r="AY16" s="195"/>
      <c r="AZ16" s="195"/>
      <c r="BA16" s="195"/>
      <c r="BB16" s="195"/>
      <c r="BC16" s="195"/>
      <c r="BD16" s="195"/>
      <c r="BE16" s="195"/>
      <c r="BF16" s="195"/>
      <c r="BG16" s="195"/>
      <c r="BH16" s="195"/>
      <c r="BI16" s="195"/>
      <c r="BJ16" s="195"/>
      <c r="BK16" s="195"/>
      <c r="BL16" s="195"/>
      <c r="BM16" s="195"/>
      <c r="BN16" s="195"/>
      <c r="BO16" s="195"/>
      <c r="BP16" s="195"/>
      <c r="BQ16" s="195"/>
      <c r="BR16" s="195"/>
      <c r="BS16" s="195"/>
      <c r="BT16" s="195"/>
      <c r="BU16" s="195"/>
      <c r="BV16" s="195"/>
      <c r="BW16" s="195"/>
      <c r="BX16" s="195"/>
      <c r="BY16" s="195"/>
      <c r="BZ16" s="195"/>
      <c r="CA16" s="195"/>
      <c r="CB16" s="195"/>
      <c r="CC16" s="195"/>
      <c r="CD16" s="195"/>
      <c r="CE16" s="195"/>
      <c r="CF16" s="195"/>
      <c r="CG16" s="195"/>
      <c r="CH16" s="195"/>
      <c r="CI16" s="195"/>
      <c r="CJ16" s="195"/>
      <c r="CK16" s="195"/>
      <c r="CL16" s="195"/>
      <c r="CM16" s="195"/>
      <c r="CN16" s="195"/>
      <c r="CO16" s="195"/>
      <c r="CP16" s="195"/>
      <c r="CQ16" s="195"/>
      <c r="CR16" s="195"/>
      <c r="CS16" s="195"/>
      <c r="CT16" s="195"/>
      <c r="CU16" s="195"/>
      <c r="CV16" s="195"/>
      <c r="CW16" s="195"/>
      <c r="CX16" s="195"/>
      <c r="CY16" s="195"/>
      <c r="CZ16" s="195"/>
      <c r="DA16" s="195"/>
      <c r="DB16" s="195"/>
      <c r="DC16" s="195"/>
      <c r="DD16" s="195"/>
      <c r="DE16" s="195"/>
      <c r="DF16" s="195"/>
      <c r="DG16" s="195"/>
      <c r="DH16" s="195"/>
      <c r="DI16" s="195"/>
      <c r="DJ16" s="195"/>
      <c r="DK16" s="195"/>
      <c r="DL16" s="195"/>
      <c r="DM16" s="195"/>
      <c r="DN16" s="195"/>
      <c r="DO16" s="195"/>
      <c r="DP16" s="195"/>
      <c r="DQ16" s="195"/>
      <c r="DR16" s="195"/>
      <c r="DS16" s="195"/>
      <c r="DT16" s="195"/>
      <c r="DU16" s="195"/>
      <c r="DV16" s="195"/>
      <c r="DW16" s="195"/>
      <c r="DX16" s="195"/>
      <c r="EB16" s="335"/>
      <c r="EC16">
        <v>15</v>
      </c>
      <c r="ED16" t="s">
        <v>302</v>
      </c>
      <c r="EE16" t="b" cm="1">
        <f t="array" ref="EE16">IF(SUMPRODUCT(--($EC16=$X$2:$DX$2),--($X$9:$DX$9))&gt;=1,TRUE,FALSE)</f>
        <v>0</v>
      </c>
      <c r="EF16" s="29" t="str">
        <f>'CycleRAP Model'!K17</f>
        <v>Facility access</v>
      </c>
      <c r="EG16">
        <f>'CycleRAP Model'!O17</f>
        <v>1</v>
      </c>
      <c r="EH16" s="335"/>
      <c r="EI16">
        <v>15</v>
      </c>
      <c r="EJ16" t="s">
        <v>302</v>
      </c>
      <c r="EK16" t="b">
        <f t="shared" si="5"/>
        <v>0</v>
      </c>
      <c r="EL16" t="str">
        <f t="shared" ca="1" si="42"/>
        <v>Gabriel G</v>
      </c>
      <c r="EM16">
        <f t="shared" ca="1" si="42"/>
        <v>45076</v>
      </c>
      <c r="EN16">
        <f t="shared" ca="1" si="42"/>
        <v>45076</v>
      </c>
      <c r="EO16" t="str">
        <f t="shared" ca="1" si="42"/>
        <v>F004560</v>
      </c>
      <c r="EP16" t="str">
        <f t="shared" ca="1" si="42"/>
        <v>Carrera 30</v>
      </c>
      <c r="EQ16">
        <f t="shared" ca="1" si="42"/>
        <v>4560</v>
      </c>
      <c r="ER16">
        <f t="shared" ca="1" si="42"/>
        <v>0.01</v>
      </c>
      <c r="ES16">
        <f t="shared" ca="1" si="42"/>
        <v>4.6501536000000003</v>
      </c>
      <c r="ET16">
        <f t="shared" ca="1" si="42"/>
        <v>-74.078029700000002</v>
      </c>
      <c r="EU16">
        <f t="shared" ca="1" si="42"/>
        <v>4.6502423000000004</v>
      </c>
      <c r="EV16">
        <f t="shared" ca="1" si="42"/>
        <v>-74.078021500000006</v>
      </c>
      <c r="EW16" t="e">
        <f t="shared" ca="1" si="42"/>
        <v>#REF!</v>
      </c>
      <c r="EX16">
        <f t="shared" ca="1" si="43"/>
        <v>2</v>
      </c>
      <c r="EY16">
        <f t="shared" ca="1" si="43"/>
        <v>3</v>
      </c>
      <c r="EZ16">
        <f t="shared" ca="1" si="43"/>
        <v>1</v>
      </c>
      <c r="FA16">
        <f t="shared" ca="1" si="43"/>
        <v>2</v>
      </c>
      <c r="FB16">
        <f t="shared" ca="1" si="43"/>
        <v>2</v>
      </c>
      <c r="FC16">
        <f t="shared" ca="1" si="43"/>
        <v>2</v>
      </c>
      <c r="FD16">
        <f t="shared" ca="1" si="43"/>
        <v>2</v>
      </c>
      <c r="FE16">
        <f t="shared" ca="1" si="43"/>
        <v>2</v>
      </c>
      <c r="FF16">
        <f t="shared" ca="1" si="43"/>
        <v>2</v>
      </c>
      <c r="FG16">
        <f t="shared" ca="1" si="43"/>
        <v>1</v>
      </c>
      <c r="FH16">
        <f t="shared" ca="1" si="44"/>
        <v>1</v>
      </c>
      <c r="FI16">
        <f t="shared" ca="1" si="44"/>
        <v>2</v>
      </c>
      <c r="FJ16">
        <f t="shared" ca="1" si="44"/>
        <v>2</v>
      </c>
      <c r="FK16">
        <f t="shared" ca="1" si="44"/>
        <v>2</v>
      </c>
      <c r="FL16">
        <f t="shared" ca="1" si="44"/>
        <v>2</v>
      </c>
      <c r="FM16">
        <f t="shared" ca="1" si="44"/>
        <v>2</v>
      </c>
      <c r="FN16">
        <f t="shared" ca="1" si="44"/>
        <v>1</v>
      </c>
      <c r="FO16">
        <f t="shared" ca="1" si="44"/>
        <v>1</v>
      </c>
      <c r="FP16">
        <f t="shared" ca="1" si="44"/>
        <v>2</v>
      </c>
      <c r="FQ16">
        <f t="shared" ca="1" si="44"/>
        <v>2</v>
      </c>
      <c r="FR16">
        <f t="shared" ca="1" si="45"/>
        <v>2</v>
      </c>
      <c r="FS16">
        <f t="shared" ca="1" si="45"/>
        <v>2</v>
      </c>
      <c r="FT16">
        <f t="shared" ca="1" si="45"/>
        <v>2</v>
      </c>
      <c r="FU16">
        <f t="shared" ca="1" si="45"/>
        <v>1</v>
      </c>
      <c r="FV16">
        <f t="shared" ca="1" si="45"/>
        <v>2</v>
      </c>
      <c r="FW16">
        <f t="shared" ca="1" si="45"/>
        <v>1</v>
      </c>
      <c r="FX16">
        <f t="shared" ca="1" si="45"/>
        <v>2</v>
      </c>
      <c r="FY16">
        <f t="shared" ca="1" si="45"/>
        <v>2</v>
      </c>
      <c r="FZ16">
        <f t="shared" ca="1" si="45"/>
        <v>2</v>
      </c>
      <c r="GA16">
        <f t="shared" ca="1" si="45"/>
        <v>2</v>
      </c>
      <c r="GB16">
        <f t="shared" ca="1" si="46"/>
        <v>2</v>
      </c>
      <c r="GC16">
        <f t="shared" ca="1" si="46"/>
        <v>2</v>
      </c>
      <c r="GD16">
        <f t="shared" ca="1" si="46"/>
        <v>1</v>
      </c>
      <c r="GE16">
        <f t="shared" ca="1" si="46"/>
        <v>2</v>
      </c>
      <c r="GF16">
        <f t="shared" ca="1" si="46"/>
        <v>3</v>
      </c>
      <c r="GG16">
        <f t="shared" ca="1" si="46"/>
        <v>2</v>
      </c>
      <c r="GH16">
        <f t="shared" ca="1" si="46"/>
        <v>2</v>
      </c>
      <c r="GI16">
        <f t="shared" ca="1" si="46"/>
        <v>1</v>
      </c>
      <c r="GJ16">
        <f t="shared" ca="1" si="46"/>
        <v>1</v>
      </c>
      <c r="GK16">
        <f t="shared" ca="1" si="46"/>
        <v>39500</v>
      </c>
      <c r="GL16">
        <f t="shared" ca="1" si="46"/>
        <v>2</v>
      </c>
      <c r="GM16">
        <f t="shared" ca="1" si="46"/>
        <v>50</v>
      </c>
      <c r="GN16">
        <f t="shared" ca="1" si="46"/>
        <v>42.47</v>
      </c>
      <c r="GO16">
        <f t="shared" ca="1" si="46"/>
        <v>0</v>
      </c>
      <c r="GP16" s="335"/>
    </row>
    <row r="17" spans="1:198" x14ac:dyDescent="0.25">
      <c r="A17" s="334"/>
      <c r="B17">
        <v>16</v>
      </c>
      <c r="C17" t="s">
        <v>303</v>
      </c>
      <c r="D17">
        <v>37</v>
      </c>
      <c r="E17" s="142" t="s">
        <v>17</v>
      </c>
      <c r="F17">
        <f>'Upload spec'!G71</f>
        <v>2</v>
      </c>
      <c r="G17" s="143" t="s">
        <v>207</v>
      </c>
      <c r="R17" s="335"/>
      <c r="S17" s="4" t="s">
        <v>171</v>
      </c>
      <c r="T17" t="s">
        <v>172</v>
      </c>
      <c r="U17" t="s">
        <v>144</v>
      </c>
      <c r="V17">
        <f>'CycleRAP Model'!O10</f>
        <v>4.6501536000000003</v>
      </c>
      <c r="W17" s="158"/>
      <c r="X17" s="163"/>
      <c r="Y17" s="163"/>
      <c r="Z17" s="163"/>
      <c r="AA17" s="181"/>
      <c r="AB17" s="163"/>
      <c r="AC17" s="163"/>
      <c r="AD17" s="163"/>
      <c r="AE17" s="181"/>
      <c r="AF17" s="206"/>
      <c r="AG17" s="195"/>
      <c r="AH17" s="195"/>
      <c r="AI17" s="206"/>
      <c r="AJ17" s="195"/>
      <c r="AK17" s="195"/>
      <c r="AL17" s="195"/>
      <c r="AM17" s="195"/>
      <c r="AN17" s="195"/>
      <c r="AO17" s="195"/>
      <c r="AP17" s="195"/>
      <c r="AQ17" s="195"/>
      <c r="AR17" s="195"/>
      <c r="AS17" s="195"/>
      <c r="AT17" s="195"/>
      <c r="AU17" s="195"/>
      <c r="AV17" s="206"/>
      <c r="AW17" s="195"/>
      <c r="AX17" s="195"/>
      <c r="AY17" s="195"/>
      <c r="AZ17" s="195"/>
      <c r="BA17" s="195"/>
      <c r="BB17" s="195"/>
      <c r="BC17" s="195"/>
      <c r="BD17" s="195"/>
      <c r="BE17" s="195"/>
      <c r="BF17" s="195"/>
      <c r="BG17" s="195"/>
      <c r="BH17" s="195"/>
      <c r="BI17" s="195"/>
      <c r="BJ17" s="195"/>
      <c r="BK17" s="195"/>
      <c r="BL17" s="195"/>
      <c r="BM17" s="195"/>
      <c r="BN17" s="195"/>
      <c r="BO17" s="195"/>
      <c r="BP17" s="195"/>
      <c r="BQ17" s="195"/>
      <c r="BR17" s="195"/>
      <c r="BS17" s="195"/>
      <c r="BT17" s="195"/>
      <c r="BU17" s="195"/>
      <c r="BV17" s="195"/>
      <c r="BW17" s="195"/>
      <c r="BX17" s="195"/>
      <c r="BY17" s="195"/>
      <c r="BZ17" s="195"/>
      <c r="CA17" s="195"/>
      <c r="CB17" s="195"/>
      <c r="CC17" s="195"/>
      <c r="CD17" s="195"/>
      <c r="CE17" s="195"/>
      <c r="CF17" s="195"/>
      <c r="CG17" s="195"/>
      <c r="CH17" s="195"/>
      <c r="CI17" s="195"/>
      <c r="CJ17" s="195"/>
      <c r="CK17" s="195"/>
      <c r="CL17" s="195"/>
      <c r="CM17" s="195"/>
      <c r="CN17" s="195"/>
      <c r="CO17" s="195"/>
      <c r="CP17" s="195"/>
      <c r="CQ17" s="195"/>
      <c r="CR17" s="195"/>
      <c r="CS17" s="195"/>
      <c r="CT17" s="195"/>
      <c r="CU17" s="195"/>
      <c r="CV17" s="195"/>
      <c r="CW17" s="195"/>
      <c r="CX17" s="195"/>
      <c r="CY17" s="195"/>
      <c r="CZ17" s="195"/>
      <c r="DA17" s="195"/>
      <c r="DB17" s="195"/>
      <c r="DC17" s="195"/>
      <c r="DD17" s="195"/>
      <c r="DE17" s="195"/>
      <c r="DF17" s="195"/>
      <c r="DG17" s="195"/>
      <c r="DH17" s="195"/>
      <c r="DI17" s="195"/>
      <c r="DJ17" s="195"/>
      <c r="DK17" s="195"/>
      <c r="DL17" s="195"/>
      <c r="DM17" s="195"/>
      <c r="DN17" s="195"/>
      <c r="DO17" s="195"/>
      <c r="DP17" s="195"/>
      <c r="DQ17" s="195"/>
      <c r="DR17" s="195"/>
      <c r="DS17" s="195"/>
      <c r="DT17" s="195"/>
      <c r="DU17" s="195"/>
      <c r="DV17" s="195"/>
      <c r="DW17" s="195"/>
      <c r="DX17" s="195"/>
      <c r="EB17" s="335"/>
      <c r="EC17">
        <v>16</v>
      </c>
      <c r="ED17" t="s">
        <v>303</v>
      </c>
      <c r="EE17" t="b" cm="1">
        <f t="array" ref="EE17">IF(SUMPRODUCT(--($EC17=$X$2:$DX$2),--($X$9:$DX$9))&gt;=1,TRUE,FALSE)</f>
        <v>0</v>
      </c>
      <c r="EF17" s="29" t="str">
        <f>'CycleRAP Model'!K18</f>
        <v>Loose or slippery surface</v>
      </c>
      <c r="EG17">
        <f>'CycleRAP Model'!O18</f>
        <v>2</v>
      </c>
      <c r="EH17" s="335"/>
      <c r="EI17">
        <v>16</v>
      </c>
      <c r="EJ17" t="s">
        <v>303</v>
      </c>
      <c r="EK17" t="b">
        <f t="shared" si="5"/>
        <v>0</v>
      </c>
      <c r="EL17" t="str">
        <f t="shared" ca="1" si="42"/>
        <v>Gabriel G</v>
      </c>
      <c r="EM17">
        <f t="shared" ca="1" si="42"/>
        <v>45076</v>
      </c>
      <c r="EN17">
        <f t="shared" ca="1" si="42"/>
        <v>45076</v>
      </c>
      <c r="EO17" t="str">
        <f t="shared" ca="1" si="42"/>
        <v>F004560</v>
      </c>
      <c r="EP17" t="str">
        <f t="shared" ca="1" si="42"/>
        <v>Carrera 30</v>
      </c>
      <c r="EQ17">
        <f t="shared" ca="1" si="42"/>
        <v>4560</v>
      </c>
      <c r="ER17">
        <f t="shared" ca="1" si="42"/>
        <v>0.01</v>
      </c>
      <c r="ES17">
        <f t="shared" ca="1" si="42"/>
        <v>4.6501536000000003</v>
      </c>
      <c r="ET17">
        <f t="shared" ca="1" si="42"/>
        <v>-74.078029700000002</v>
      </c>
      <c r="EU17">
        <f t="shared" ca="1" si="42"/>
        <v>4.6502423000000004</v>
      </c>
      <c r="EV17">
        <f t="shared" ca="1" si="42"/>
        <v>-74.078021500000006</v>
      </c>
      <c r="EW17" t="e">
        <f t="shared" ca="1" si="42"/>
        <v>#REF!</v>
      </c>
      <c r="EX17">
        <f t="shared" ca="1" si="43"/>
        <v>2</v>
      </c>
      <c r="EY17">
        <f t="shared" ca="1" si="43"/>
        <v>3</v>
      </c>
      <c r="EZ17">
        <f t="shared" ca="1" si="43"/>
        <v>1</v>
      </c>
      <c r="FA17">
        <f t="shared" ca="1" si="43"/>
        <v>2</v>
      </c>
      <c r="FB17">
        <f t="shared" ca="1" si="43"/>
        <v>2</v>
      </c>
      <c r="FC17">
        <f t="shared" ca="1" si="43"/>
        <v>2</v>
      </c>
      <c r="FD17">
        <f t="shared" ca="1" si="43"/>
        <v>2</v>
      </c>
      <c r="FE17">
        <f t="shared" ca="1" si="43"/>
        <v>2</v>
      </c>
      <c r="FF17">
        <f t="shared" ca="1" si="43"/>
        <v>2</v>
      </c>
      <c r="FG17">
        <f t="shared" ca="1" si="43"/>
        <v>1</v>
      </c>
      <c r="FH17">
        <f t="shared" ca="1" si="44"/>
        <v>1</v>
      </c>
      <c r="FI17">
        <f t="shared" ca="1" si="44"/>
        <v>2</v>
      </c>
      <c r="FJ17">
        <f t="shared" ca="1" si="44"/>
        <v>2</v>
      </c>
      <c r="FK17">
        <f t="shared" ca="1" si="44"/>
        <v>2</v>
      </c>
      <c r="FL17">
        <f t="shared" ca="1" si="44"/>
        <v>2</v>
      </c>
      <c r="FM17">
        <f t="shared" ca="1" si="44"/>
        <v>2</v>
      </c>
      <c r="FN17">
        <f t="shared" ca="1" si="44"/>
        <v>1</v>
      </c>
      <c r="FO17">
        <f t="shared" ca="1" si="44"/>
        <v>1</v>
      </c>
      <c r="FP17">
        <f t="shared" ca="1" si="44"/>
        <v>2</v>
      </c>
      <c r="FQ17">
        <f t="shared" ca="1" si="44"/>
        <v>2</v>
      </c>
      <c r="FR17">
        <f t="shared" ca="1" si="45"/>
        <v>2</v>
      </c>
      <c r="FS17">
        <f t="shared" ca="1" si="45"/>
        <v>2</v>
      </c>
      <c r="FT17">
        <f t="shared" ca="1" si="45"/>
        <v>2</v>
      </c>
      <c r="FU17">
        <f t="shared" ca="1" si="45"/>
        <v>1</v>
      </c>
      <c r="FV17">
        <f t="shared" ca="1" si="45"/>
        <v>2</v>
      </c>
      <c r="FW17">
        <f t="shared" ca="1" si="45"/>
        <v>1</v>
      </c>
      <c r="FX17">
        <f t="shared" ca="1" si="45"/>
        <v>2</v>
      </c>
      <c r="FY17">
        <f t="shared" ca="1" si="45"/>
        <v>2</v>
      </c>
      <c r="FZ17">
        <f t="shared" ca="1" si="45"/>
        <v>2</v>
      </c>
      <c r="GA17">
        <f t="shared" ca="1" si="45"/>
        <v>2</v>
      </c>
      <c r="GB17">
        <f t="shared" ca="1" si="46"/>
        <v>2</v>
      </c>
      <c r="GC17">
        <f t="shared" ca="1" si="46"/>
        <v>2</v>
      </c>
      <c r="GD17">
        <f t="shared" ca="1" si="46"/>
        <v>1</v>
      </c>
      <c r="GE17">
        <f t="shared" ca="1" si="46"/>
        <v>2</v>
      </c>
      <c r="GF17">
        <f t="shared" ca="1" si="46"/>
        <v>3</v>
      </c>
      <c r="GG17">
        <f t="shared" ca="1" si="46"/>
        <v>2</v>
      </c>
      <c r="GH17">
        <f t="shared" ca="1" si="46"/>
        <v>2</v>
      </c>
      <c r="GI17">
        <f t="shared" ca="1" si="46"/>
        <v>1</v>
      </c>
      <c r="GJ17">
        <f t="shared" ca="1" si="46"/>
        <v>1</v>
      </c>
      <c r="GK17">
        <f t="shared" ca="1" si="46"/>
        <v>39500</v>
      </c>
      <c r="GL17">
        <f t="shared" ca="1" si="46"/>
        <v>2</v>
      </c>
      <c r="GM17">
        <f t="shared" ca="1" si="46"/>
        <v>50</v>
      </c>
      <c r="GN17">
        <f t="shared" ca="1" si="46"/>
        <v>42.47</v>
      </c>
      <c r="GO17">
        <f t="shared" ca="1" si="46"/>
        <v>0</v>
      </c>
      <c r="GP17" s="335"/>
    </row>
    <row r="18" spans="1:198" x14ac:dyDescent="0.25">
      <c r="A18" s="334"/>
      <c r="B18">
        <v>17</v>
      </c>
      <c r="C18" t="s">
        <v>304</v>
      </c>
      <c r="D18">
        <v>23</v>
      </c>
      <c r="E18" s="142" t="s">
        <v>40</v>
      </c>
      <c r="F18">
        <v>3</v>
      </c>
      <c r="G18" s="143" t="s">
        <v>186</v>
      </c>
      <c r="R18" s="335"/>
      <c r="S18" s="4" t="s">
        <v>171</v>
      </c>
      <c r="T18" t="s">
        <v>174</v>
      </c>
      <c r="U18" t="s">
        <v>144</v>
      </c>
      <c r="V18">
        <f>'CycleRAP Model'!O11</f>
        <v>-74.078029700000002</v>
      </c>
      <c r="W18" s="158"/>
      <c r="X18" s="163"/>
      <c r="Y18" s="163"/>
      <c r="Z18" s="163"/>
      <c r="AA18" s="181"/>
      <c r="AB18" s="163"/>
      <c r="AC18" s="163"/>
      <c r="AD18" s="163"/>
      <c r="AE18" s="181"/>
      <c r="AF18" s="206"/>
      <c r="AG18" s="195"/>
      <c r="AH18" s="195"/>
      <c r="AI18" s="206"/>
      <c r="AJ18" s="195"/>
      <c r="AK18" s="195"/>
      <c r="AL18" s="195"/>
      <c r="AM18" s="195"/>
      <c r="AN18" s="195"/>
      <c r="AO18" s="195"/>
      <c r="AP18" s="195"/>
      <c r="AQ18" s="195"/>
      <c r="AR18" s="195"/>
      <c r="AS18" s="195"/>
      <c r="AT18" s="195"/>
      <c r="AU18" s="195"/>
      <c r="AV18" s="206"/>
      <c r="AW18" s="195"/>
      <c r="AX18" s="195"/>
      <c r="AY18" s="195"/>
      <c r="AZ18" s="195"/>
      <c r="BA18" s="195"/>
      <c r="BB18" s="195"/>
      <c r="BC18" s="195"/>
      <c r="BD18" s="195"/>
      <c r="BE18" s="195"/>
      <c r="BF18" s="195"/>
      <c r="BG18" s="195"/>
      <c r="BH18" s="195"/>
      <c r="BI18" s="195"/>
      <c r="BJ18" s="195"/>
      <c r="BK18" s="195"/>
      <c r="BL18" s="195"/>
      <c r="BM18" s="195"/>
      <c r="BN18" s="195"/>
      <c r="BO18" s="195"/>
      <c r="BP18" s="195"/>
      <c r="BQ18" s="195"/>
      <c r="BR18" s="195"/>
      <c r="BS18" s="195"/>
      <c r="BT18" s="195"/>
      <c r="BU18" s="195"/>
      <c r="BV18" s="195"/>
      <c r="BW18" s="195"/>
      <c r="BX18" s="195"/>
      <c r="BY18" s="195"/>
      <c r="BZ18" s="195"/>
      <c r="CA18" s="195"/>
      <c r="CB18" s="195"/>
      <c r="CC18" s="195"/>
      <c r="CD18" s="195"/>
      <c r="CE18" s="195"/>
      <c r="CF18" s="195"/>
      <c r="CG18" s="195"/>
      <c r="CH18" s="195"/>
      <c r="CI18" s="195"/>
      <c r="CJ18" s="195"/>
      <c r="CK18" s="195"/>
      <c r="CL18" s="195"/>
      <c r="CM18" s="195"/>
      <c r="CN18" s="195"/>
      <c r="CO18" s="195"/>
      <c r="CP18" s="195"/>
      <c r="CQ18" s="195"/>
      <c r="CR18" s="195"/>
      <c r="CS18" s="195"/>
      <c r="CT18" s="195"/>
      <c r="CU18" s="195"/>
      <c r="CV18" s="195"/>
      <c r="CW18" s="195"/>
      <c r="CX18" s="195"/>
      <c r="CY18" s="195"/>
      <c r="CZ18" s="195"/>
      <c r="DA18" s="195"/>
      <c r="DB18" s="195"/>
      <c r="DC18" s="195"/>
      <c r="DD18" s="195"/>
      <c r="DE18" s="195"/>
      <c r="DF18" s="195"/>
      <c r="DG18" s="195"/>
      <c r="DH18" s="195"/>
      <c r="DI18" s="195"/>
      <c r="DJ18" s="195"/>
      <c r="DK18" s="195"/>
      <c r="DL18" s="195"/>
      <c r="DM18" s="195"/>
      <c r="DN18" s="195"/>
      <c r="DO18" s="195"/>
      <c r="DP18" s="195"/>
      <c r="DQ18" s="195"/>
      <c r="DR18" s="195"/>
      <c r="DS18" s="195"/>
      <c r="DT18" s="195"/>
      <c r="DU18" s="195"/>
      <c r="DV18" s="195"/>
      <c r="DW18" s="195"/>
      <c r="DX18" s="195"/>
      <c r="EB18" s="335"/>
      <c r="EC18">
        <v>17</v>
      </c>
      <c r="ED18" t="s">
        <v>304</v>
      </c>
      <c r="EE18" t="b" cm="1">
        <f t="array" ref="EE18">IF(SUMPRODUCT(--($EC18=$X$2:$DX$2),--($X$9:$DX$9))&gt;=1,TRUE,FALSE)</f>
        <v>1</v>
      </c>
      <c r="EF18" s="29" t="str">
        <f>'CycleRAP Model'!K19</f>
        <v>Tram or train rails</v>
      </c>
      <c r="EG18">
        <f>'CycleRAP Model'!O19</f>
        <v>2</v>
      </c>
      <c r="EH18" s="335"/>
      <c r="EI18">
        <v>17</v>
      </c>
      <c r="EJ18" t="s">
        <v>304</v>
      </c>
      <c r="EK18" t="b">
        <f t="shared" si="5"/>
        <v>1</v>
      </c>
      <c r="EL18" t="str">
        <f t="shared" ca="1" si="42"/>
        <v>Gabriel G</v>
      </c>
      <c r="EM18">
        <f t="shared" ca="1" si="42"/>
        <v>45076</v>
      </c>
      <c r="EN18">
        <f t="shared" ca="1" si="42"/>
        <v>45076</v>
      </c>
      <c r="EO18" t="str">
        <f t="shared" ca="1" si="42"/>
        <v>F004560</v>
      </c>
      <c r="EP18" t="str">
        <f t="shared" ca="1" si="42"/>
        <v>Carrera 30</v>
      </c>
      <c r="EQ18">
        <f t="shared" ca="1" si="42"/>
        <v>4560</v>
      </c>
      <c r="ER18">
        <f t="shared" ca="1" si="42"/>
        <v>0.01</v>
      </c>
      <c r="ES18">
        <f t="shared" ca="1" si="42"/>
        <v>4.6501536000000003</v>
      </c>
      <c r="ET18">
        <f t="shared" ca="1" si="42"/>
        <v>-74.078029700000002</v>
      </c>
      <c r="EU18">
        <f t="shared" ca="1" si="42"/>
        <v>4.6502423000000004</v>
      </c>
      <c r="EV18">
        <f t="shared" ca="1" si="42"/>
        <v>-74.078021500000006</v>
      </c>
      <c r="EW18" t="e">
        <f t="shared" ca="1" si="42"/>
        <v>#REF!</v>
      </c>
      <c r="EX18">
        <f t="shared" ca="1" si="43"/>
        <v>2</v>
      </c>
      <c r="EY18">
        <f t="shared" ca="1" si="43"/>
        <v>3</v>
      </c>
      <c r="EZ18">
        <f t="shared" ca="1" si="43"/>
        <v>1</v>
      </c>
      <c r="FA18">
        <f t="shared" ca="1" si="43"/>
        <v>2</v>
      </c>
      <c r="FB18">
        <f t="shared" ca="1" si="43"/>
        <v>2</v>
      </c>
      <c r="FC18">
        <f t="shared" ca="1" si="43"/>
        <v>2</v>
      </c>
      <c r="FD18">
        <f t="shared" ca="1" si="43"/>
        <v>2</v>
      </c>
      <c r="FE18">
        <f t="shared" ca="1" si="43"/>
        <v>2</v>
      </c>
      <c r="FF18">
        <f t="shared" ca="1" si="43"/>
        <v>2</v>
      </c>
      <c r="FG18">
        <f t="shared" ca="1" si="43"/>
        <v>1</v>
      </c>
      <c r="FH18">
        <f t="shared" ca="1" si="44"/>
        <v>3</v>
      </c>
      <c r="FI18">
        <f t="shared" ca="1" si="44"/>
        <v>2</v>
      </c>
      <c r="FJ18">
        <f t="shared" ca="1" si="44"/>
        <v>2</v>
      </c>
      <c r="FK18">
        <f t="shared" ca="1" si="44"/>
        <v>2</v>
      </c>
      <c r="FL18">
        <f t="shared" ca="1" si="44"/>
        <v>2</v>
      </c>
      <c r="FM18">
        <f t="shared" ca="1" si="44"/>
        <v>2</v>
      </c>
      <c r="FN18">
        <f t="shared" ca="1" si="44"/>
        <v>1</v>
      </c>
      <c r="FO18">
        <f t="shared" ca="1" si="44"/>
        <v>1</v>
      </c>
      <c r="FP18">
        <f t="shared" ca="1" si="44"/>
        <v>2</v>
      </c>
      <c r="FQ18">
        <f t="shared" ca="1" si="44"/>
        <v>2</v>
      </c>
      <c r="FR18">
        <f t="shared" ca="1" si="45"/>
        <v>2</v>
      </c>
      <c r="FS18">
        <f t="shared" ca="1" si="45"/>
        <v>2</v>
      </c>
      <c r="FT18">
        <f t="shared" ca="1" si="45"/>
        <v>2</v>
      </c>
      <c r="FU18">
        <f t="shared" ca="1" si="45"/>
        <v>1</v>
      </c>
      <c r="FV18">
        <f t="shared" ca="1" si="45"/>
        <v>2</v>
      </c>
      <c r="FW18">
        <f t="shared" ca="1" si="45"/>
        <v>1</v>
      </c>
      <c r="FX18">
        <f t="shared" ca="1" si="45"/>
        <v>2</v>
      </c>
      <c r="FY18">
        <f t="shared" ca="1" si="45"/>
        <v>2</v>
      </c>
      <c r="FZ18">
        <f t="shared" ca="1" si="45"/>
        <v>2</v>
      </c>
      <c r="GA18">
        <f t="shared" ca="1" si="45"/>
        <v>2</v>
      </c>
      <c r="GB18">
        <f t="shared" ca="1" si="46"/>
        <v>2</v>
      </c>
      <c r="GC18">
        <f t="shared" ca="1" si="46"/>
        <v>2</v>
      </c>
      <c r="GD18">
        <f t="shared" ca="1" si="46"/>
        <v>1</v>
      </c>
      <c r="GE18">
        <f t="shared" ca="1" si="46"/>
        <v>2</v>
      </c>
      <c r="GF18">
        <f t="shared" ca="1" si="46"/>
        <v>3</v>
      </c>
      <c r="GG18">
        <f t="shared" ca="1" si="46"/>
        <v>2</v>
      </c>
      <c r="GH18">
        <f t="shared" ca="1" si="46"/>
        <v>2</v>
      </c>
      <c r="GI18">
        <f t="shared" ca="1" si="46"/>
        <v>1</v>
      </c>
      <c r="GJ18">
        <f t="shared" ca="1" si="46"/>
        <v>1</v>
      </c>
      <c r="GK18">
        <f t="shared" ca="1" si="46"/>
        <v>39500</v>
      </c>
      <c r="GL18">
        <f t="shared" ca="1" si="46"/>
        <v>2</v>
      </c>
      <c r="GM18">
        <f t="shared" ca="1" si="46"/>
        <v>50</v>
      </c>
      <c r="GN18">
        <f t="shared" ca="1" si="46"/>
        <v>42.47</v>
      </c>
      <c r="GO18">
        <f t="shared" ca="1" si="46"/>
        <v>0</v>
      </c>
      <c r="GP18" s="335"/>
    </row>
    <row r="19" spans="1:198" ht="22.8" x14ac:dyDescent="0.25">
      <c r="A19" s="334"/>
      <c r="B19">
        <v>18</v>
      </c>
      <c r="C19" t="s">
        <v>305</v>
      </c>
      <c r="D19">
        <v>28</v>
      </c>
      <c r="E19" s="142" t="s">
        <v>54</v>
      </c>
      <c r="F19">
        <f>'Upload spec'!G53</f>
        <v>2</v>
      </c>
      <c r="G19" s="148" t="s">
        <v>22</v>
      </c>
      <c r="R19" s="335"/>
      <c r="S19" s="4" t="s">
        <v>176</v>
      </c>
      <c r="T19" t="s">
        <v>172</v>
      </c>
      <c r="U19" t="s">
        <v>144</v>
      </c>
      <c r="V19">
        <f>'CycleRAP Model'!O12</f>
        <v>4.6502423000000004</v>
      </c>
      <c r="W19" s="158"/>
      <c r="X19" s="163"/>
      <c r="Y19" s="163"/>
      <c r="Z19" s="163"/>
      <c r="AA19" s="181"/>
      <c r="AB19" s="163"/>
      <c r="AC19" s="163"/>
      <c r="AD19" s="163"/>
      <c r="AE19" s="181"/>
      <c r="AF19" s="206"/>
      <c r="AG19" s="195"/>
      <c r="AH19" s="195"/>
      <c r="AI19" s="206"/>
      <c r="AJ19" s="195"/>
      <c r="AK19" s="195"/>
      <c r="AL19" s="195"/>
      <c r="AM19" s="195"/>
      <c r="AN19" s="195"/>
      <c r="AO19" s="195"/>
      <c r="AP19" s="195"/>
      <c r="AQ19" s="195"/>
      <c r="AR19" s="195"/>
      <c r="AS19" s="195"/>
      <c r="AT19" s="195"/>
      <c r="AU19" s="195"/>
      <c r="AV19" s="206"/>
      <c r="AW19" s="195"/>
      <c r="AX19" s="195"/>
      <c r="AY19" s="195"/>
      <c r="AZ19" s="195"/>
      <c r="BA19" s="195"/>
      <c r="BB19" s="195"/>
      <c r="BC19" s="195"/>
      <c r="BD19" s="195"/>
      <c r="BE19" s="195"/>
      <c r="BF19" s="195"/>
      <c r="BG19" s="195"/>
      <c r="BH19" s="195"/>
      <c r="BI19" s="195"/>
      <c r="BJ19" s="195"/>
      <c r="BK19" s="195"/>
      <c r="BL19" s="195"/>
      <c r="BM19" s="195"/>
      <c r="BN19" s="195"/>
      <c r="BO19" s="195"/>
      <c r="BP19" s="195"/>
      <c r="BQ19" s="195"/>
      <c r="BR19" s="195"/>
      <c r="BS19" s="195"/>
      <c r="BT19" s="195"/>
      <c r="BU19" s="195"/>
      <c r="BV19" s="195"/>
      <c r="BW19" s="195"/>
      <c r="BX19" s="195"/>
      <c r="BY19" s="195"/>
      <c r="BZ19" s="195"/>
      <c r="CA19" s="195"/>
      <c r="CB19" s="195"/>
      <c r="CC19" s="195"/>
      <c r="CD19" s="195"/>
      <c r="CE19" s="195"/>
      <c r="CF19" s="195"/>
      <c r="CG19" s="195"/>
      <c r="CH19" s="195"/>
      <c r="CI19" s="195"/>
      <c r="CJ19" s="195"/>
      <c r="CK19" s="195"/>
      <c r="CL19" s="195"/>
      <c r="CM19" s="195"/>
      <c r="CN19" s="195"/>
      <c r="CO19" s="195"/>
      <c r="CP19" s="195"/>
      <c r="CQ19" s="195"/>
      <c r="CR19" s="195"/>
      <c r="CS19" s="195"/>
      <c r="CT19" s="195"/>
      <c r="CU19" s="195"/>
      <c r="CV19" s="195"/>
      <c r="CW19" s="195"/>
      <c r="CX19" s="195"/>
      <c r="CY19" s="195"/>
      <c r="CZ19" s="195"/>
      <c r="DA19" s="195"/>
      <c r="DB19" s="195"/>
      <c r="DC19" s="195"/>
      <c r="DD19" s="195"/>
      <c r="DE19" s="195"/>
      <c r="DF19" s="195"/>
      <c r="DG19" s="195"/>
      <c r="DH19" s="195"/>
      <c r="DI19" s="195"/>
      <c r="DJ19" s="195"/>
      <c r="DK19" s="195"/>
      <c r="DL19" s="195"/>
      <c r="DM19" s="195"/>
      <c r="DN19" s="195"/>
      <c r="DO19" s="195"/>
      <c r="DP19" s="195"/>
      <c r="DQ19" s="195"/>
      <c r="DR19" s="195"/>
      <c r="DS19" s="195"/>
      <c r="DT19" s="195"/>
      <c r="DU19" s="195"/>
      <c r="DV19" s="195"/>
      <c r="DW19" s="195"/>
      <c r="DX19" s="195"/>
      <c r="EB19" s="335"/>
      <c r="EC19">
        <v>18</v>
      </c>
      <c r="ED19" t="s">
        <v>305</v>
      </c>
      <c r="EE19" t="b" cm="1">
        <f t="array" ref="EE19">IF(SUMPRODUCT(--($EC19=$X$2:$DX$2),--($X$9:$DX$9))&gt;=1,TRUE,FALSE)</f>
        <v>0</v>
      </c>
      <c r="EF19" s="29" t="str">
        <f>'CycleRAP Model'!K20</f>
        <v>Major surface deformation or drain opening</v>
      </c>
      <c r="EG19">
        <f>'CycleRAP Model'!O20</f>
        <v>2</v>
      </c>
      <c r="EH19" s="335"/>
      <c r="EI19">
        <v>18</v>
      </c>
      <c r="EJ19" t="s">
        <v>305</v>
      </c>
      <c r="EK19" t="b">
        <f t="shared" si="5"/>
        <v>0</v>
      </c>
      <c r="EL19" t="str">
        <f t="shared" ca="1" si="42"/>
        <v>Gabriel G</v>
      </c>
      <c r="EM19">
        <f t="shared" ca="1" si="42"/>
        <v>45076</v>
      </c>
      <c r="EN19">
        <f t="shared" ca="1" si="42"/>
        <v>45076</v>
      </c>
      <c r="EO19" t="str">
        <f t="shared" ca="1" si="42"/>
        <v>F004560</v>
      </c>
      <c r="EP19" t="str">
        <f t="shared" ca="1" si="42"/>
        <v>Carrera 30</v>
      </c>
      <c r="EQ19">
        <f t="shared" ca="1" si="42"/>
        <v>4560</v>
      </c>
      <c r="ER19">
        <f t="shared" ca="1" si="42"/>
        <v>0.01</v>
      </c>
      <c r="ES19">
        <f t="shared" ca="1" si="42"/>
        <v>4.6501536000000003</v>
      </c>
      <c r="ET19">
        <f t="shared" ca="1" si="42"/>
        <v>-74.078029700000002</v>
      </c>
      <c r="EU19">
        <f t="shared" ca="1" si="42"/>
        <v>4.6502423000000004</v>
      </c>
      <c r="EV19">
        <f t="shared" ca="1" si="42"/>
        <v>-74.078021500000006</v>
      </c>
      <c r="EW19" t="e">
        <f t="shared" ca="1" si="42"/>
        <v>#REF!</v>
      </c>
      <c r="EX19">
        <f t="shared" ca="1" si="43"/>
        <v>2</v>
      </c>
      <c r="EY19">
        <f t="shared" ca="1" si="43"/>
        <v>3</v>
      </c>
      <c r="EZ19">
        <f t="shared" ca="1" si="43"/>
        <v>1</v>
      </c>
      <c r="FA19">
        <f t="shared" ca="1" si="43"/>
        <v>2</v>
      </c>
      <c r="FB19">
        <f t="shared" ca="1" si="43"/>
        <v>2</v>
      </c>
      <c r="FC19">
        <f t="shared" ca="1" si="43"/>
        <v>2</v>
      </c>
      <c r="FD19">
        <f t="shared" ca="1" si="43"/>
        <v>2</v>
      </c>
      <c r="FE19">
        <f t="shared" ca="1" si="43"/>
        <v>2</v>
      </c>
      <c r="FF19">
        <f t="shared" ca="1" si="43"/>
        <v>2</v>
      </c>
      <c r="FG19">
        <f t="shared" ca="1" si="43"/>
        <v>1</v>
      </c>
      <c r="FH19">
        <f t="shared" ca="1" si="44"/>
        <v>1</v>
      </c>
      <c r="FI19">
        <f t="shared" ca="1" si="44"/>
        <v>2</v>
      </c>
      <c r="FJ19">
        <f t="shared" ca="1" si="44"/>
        <v>2</v>
      </c>
      <c r="FK19">
        <f t="shared" ca="1" si="44"/>
        <v>2</v>
      </c>
      <c r="FL19">
        <f t="shared" ca="1" si="44"/>
        <v>2</v>
      </c>
      <c r="FM19">
        <f t="shared" ca="1" si="44"/>
        <v>2</v>
      </c>
      <c r="FN19">
        <f t="shared" ca="1" si="44"/>
        <v>1</v>
      </c>
      <c r="FO19">
        <f t="shared" ca="1" si="44"/>
        <v>1</v>
      </c>
      <c r="FP19">
        <f t="shared" ca="1" si="44"/>
        <v>2</v>
      </c>
      <c r="FQ19">
        <f t="shared" ca="1" si="44"/>
        <v>2</v>
      </c>
      <c r="FR19">
        <f t="shared" ca="1" si="45"/>
        <v>2</v>
      </c>
      <c r="FS19">
        <f t="shared" ca="1" si="45"/>
        <v>2</v>
      </c>
      <c r="FT19">
        <f t="shared" ca="1" si="45"/>
        <v>2</v>
      </c>
      <c r="FU19">
        <f t="shared" ca="1" si="45"/>
        <v>1</v>
      </c>
      <c r="FV19">
        <f t="shared" ca="1" si="45"/>
        <v>2</v>
      </c>
      <c r="FW19">
        <f t="shared" ca="1" si="45"/>
        <v>1</v>
      </c>
      <c r="FX19">
        <f t="shared" ca="1" si="45"/>
        <v>2</v>
      </c>
      <c r="FY19">
        <f t="shared" ca="1" si="45"/>
        <v>2</v>
      </c>
      <c r="FZ19">
        <f t="shared" ca="1" si="45"/>
        <v>2</v>
      </c>
      <c r="GA19">
        <f t="shared" ca="1" si="45"/>
        <v>2</v>
      </c>
      <c r="GB19">
        <f t="shared" ca="1" si="46"/>
        <v>2</v>
      </c>
      <c r="GC19">
        <f t="shared" ca="1" si="46"/>
        <v>2</v>
      </c>
      <c r="GD19">
        <f t="shared" ca="1" si="46"/>
        <v>1</v>
      </c>
      <c r="GE19">
        <f t="shared" ca="1" si="46"/>
        <v>2</v>
      </c>
      <c r="GF19">
        <f t="shared" ca="1" si="46"/>
        <v>3</v>
      </c>
      <c r="GG19">
        <f t="shared" ca="1" si="46"/>
        <v>2</v>
      </c>
      <c r="GH19">
        <f t="shared" ca="1" si="46"/>
        <v>2</v>
      </c>
      <c r="GI19">
        <f t="shared" ca="1" si="46"/>
        <v>1</v>
      </c>
      <c r="GJ19">
        <f t="shared" ca="1" si="46"/>
        <v>1</v>
      </c>
      <c r="GK19">
        <f t="shared" ca="1" si="46"/>
        <v>39500</v>
      </c>
      <c r="GL19">
        <f t="shared" ca="1" si="46"/>
        <v>2</v>
      </c>
      <c r="GM19">
        <f t="shared" ca="1" si="46"/>
        <v>50</v>
      </c>
      <c r="GN19">
        <f t="shared" ca="1" si="46"/>
        <v>42.47</v>
      </c>
      <c r="GO19">
        <f t="shared" ca="1" si="46"/>
        <v>0</v>
      </c>
      <c r="GP19" s="335"/>
    </row>
    <row r="20" spans="1:198" x14ac:dyDescent="0.25">
      <c r="A20" s="334"/>
      <c r="B20">
        <v>19</v>
      </c>
      <c r="C20" t="s">
        <v>306</v>
      </c>
      <c r="D20">
        <v>21</v>
      </c>
      <c r="E20" s="142" t="s">
        <v>35</v>
      </c>
      <c r="F20">
        <f>'Upload spec'!G37</f>
        <v>1</v>
      </c>
      <c r="G20" s="143" t="s">
        <v>24</v>
      </c>
      <c r="R20" s="335"/>
      <c r="S20" s="4" t="s">
        <v>176</v>
      </c>
      <c r="T20" t="s">
        <v>174</v>
      </c>
      <c r="U20" t="s">
        <v>144</v>
      </c>
      <c r="V20">
        <f>'CycleRAP Model'!O13</f>
        <v>-74.078021500000006</v>
      </c>
      <c r="W20" s="158"/>
      <c r="X20" s="163"/>
      <c r="Y20" s="163"/>
      <c r="Z20" s="163"/>
      <c r="AA20" s="181"/>
      <c r="AB20" s="163"/>
      <c r="AC20" s="163"/>
      <c r="AD20" s="163"/>
      <c r="AE20" s="181"/>
      <c r="AF20" s="206"/>
      <c r="AG20" s="195"/>
      <c r="AH20" s="195"/>
      <c r="AI20" s="206"/>
      <c r="AJ20" s="195"/>
      <c r="AK20" s="195"/>
      <c r="AL20" s="195"/>
      <c r="AM20" s="195"/>
      <c r="AN20" s="195"/>
      <c r="AO20" s="195"/>
      <c r="AP20" s="195"/>
      <c r="AQ20" s="195"/>
      <c r="AR20" s="195"/>
      <c r="AS20" s="195"/>
      <c r="AT20" s="195"/>
      <c r="AU20" s="195"/>
      <c r="AV20" s="206"/>
      <c r="AW20" s="195"/>
      <c r="AX20" s="195"/>
      <c r="AY20" s="195"/>
      <c r="AZ20" s="195"/>
      <c r="BA20" s="195"/>
      <c r="BB20" s="195"/>
      <c r="BC20" s="195"/>
      <c r="BD20" s="195"/>
      <c r="BE20" s="195"/>
      <c r="BF20" s="195"/>
      <c r="BG20" s="195"/>
      <c r="BH20" s="195"/>
      <c r="BI20" s="195"/>
      <c r="BJ20" s="195"/>
      <c r="BK20" s="195"/>
      <c r="BL20" s="195"/>
      <c r="BM20" s="195"/>
      <c r="BN20" s="195"/>
      <c r="BO20" s="195"/>
      <c r="BP20" s="195"/>
      <c r="BQ20" s="195"/>
      <c r="BR20" s="195"/>
      <c r="BS20" s="195"/>
      <c r="BT20" s="195"/>
      <c r="BU20" s="195"/>
      <c r="BV20" s="195"/>
      <c r="BW20" s="195"/>
      <c r="BX20" s="195"/>
      <c r="BY20" s="195"/>
      <c r="BZ20" s="195"/>
      <c r="CA20" s="195"/>
      <c r="CB20" s="195"/>
      <c r="CC20" s="195"/>
      <c r="CD20" s="195"/>
      <c r="CE20" s="195"/>
      <c r="CF20" s="195"/>
      <c r="CG20" s="195"/>
      <c r="CH20" s="195"/>
      <c r="CI20" s="195"/>
      <c r="CJ20" s="195"/>
      <c r="CK20" s="195"/>
      <c r="CL20" s="195"/>
      <c r="CM20" s="195"/>
      <c r="CN20" s="195"/>
      <c r="CO20" s="195"/>
      <c r="CP20" s="195"/>
      <c r="CQ20" s="195"/>
      <c r="CR20" s="195"/>
      <c r="CS20" s="195"/>
      <c r="CT20" s="195"/>
      <c r="CU20" s="195"/>
      <c r="CV20" s="195"/>
      <c r="CW20" s="195"/>
      <c r="CX20" s="195"/>
      <c r="CY20" s="195"/>
      <c r="CZ20" s="195"/>
      <c r="DA20" s="195"/>
      <c r="DB20" s="195"/>
      <c r="DC20" s="195"/>
      <c r="DD20" s="195"/>
      <c r="DE20" s="195"/>
      <c r="DF20" s="195"/>
      <c r="DG20" s="195"/>
      <c r="DH20" s="195"/>
      <c r="DI20" s="195"/>
      <c r="DJ20" s="195"/>
      <c r="DK20" s="195"/>
      <c r="DL20" s="195"/>
      <c r="DM20" s="195"/>
      <c r="DN20" s="195"/>
      <c r="DO20" s="195"/>
      <c r="DP20" s="195"/>
      <c r="DQ20" s="195"/>
      <c r="DR20" s="195"/>
      <c r="DS20" s="195"/>
      <c r="DT20" s="195"/>
      <c r="DU20" s="195"/>
      <c r="DV20" s="195"/>
      <c r="DW20" s="195"/>
      <c r="DX20" s="195"/>
      <c r="EB20" s="335"/>
      <c r="EC20">
        <v>19</v>
      </c>
      <c r="ED20" t="s">
        <v>306</v>
      </c>
      <c r="EE20" t="b" cm="1">
        <f t="array" ref="EE20">IF(SUMPRODUCT(--($EC20=$X$2:$DX$2),--($X$9:$DX$9))&gt;=1,TRUE,FALSE)</f>
        <v>1</v>
      </c>
      <c r="EF20" s="29" t="str">
        <f>'CycleRAP Model'!K21</f>
        <v>Fixed obstacle on facility</v>
      </c>
      <c r="EG20">
        <f>'CycleRAP Model'!O21</f>
        <v>2</v>
      </c>
      <c r="EH20" s="335"/>
      <c r="EI20">
        <v>19</v>
      </c>
      <c r="EJ20" t="s">
        <v>306</v>
      </c>
      <c r="EK20" t="b">
        <f t="shared" si="5"/>
        <v>1</v>
      </c>
      <c r="EL20" t="str">
        <f t="shared" ca="1" si="42"/>
        <v>Gabriel G</v>
      </c>
      <c r="EM20">
        <f t="shared" ca="1" si="42"/>
        <v>45076</v>
      </c>
      <c r="EN20">
        <f t="shared" ca="1" si="42"/>
        <v>45076</v>
      </c>
      <c r="EO20" t="str">
        <f t="shared" ca="1" si="42"/>
        <v>F004560</v>
      </c>
      <c r="EP20" t="str">
        <f t="shared" ca="1" si="42"/>
        <v>Carrera 30</v>
      </c>
      <c r="EQ20">
        <f t="shared" ca="1" si="42"/>
        <v>4560</v>
      </c>
      <c r="ER20">
        <f t="shared" ca="1" si="42"/>
        <v>0.01</v>
      </c>
      <c r="ES20">
        <f t="shared" ca="1" si="42"/>
        <v>4.6501536000000003</v>
      </c>
      <c r="ET20">
        <f t="shared" ca="1" si="42"/>
        <v>-74.078029700000002</v>
      </c>
      <c r="EU20">
        <f t="shared" ca="1" si="42"/>
        <v>4.6502423000000004</v>
      </c>
      <c r="EV20">
        <f t="shared" ca="1" si="42"/>
        <v>-74.078021500000006</v>
      </c>
      <c r="EW20" t="e">
        <f t="shared" ca="1" si="42"/>
        <v>#REF!</v>
      </c>
      <c r="EX20">
        <f t="shared" ca="1" si="43"/>
        <v>2</v>
      </c>
      <c r="EY20">
        <f t="shared" ca="1" si="43"/>
        <v>3</v>
      </c>
      <c r="EZ20">
        <f t="shared" ca="1" si="43"/>
        <v>1</v>
      </c>
      <c r="FA20">
        <f t="shared" ca="1" si="43"/>
        <v>2</v>
      </c>
      <c r="FB20">
        <f t="shared" ca="1" si="43"/>
        <v>2</v>
      </c>
      <c r="FC20">
        <f t="shared" ca="1" si="43"/>
        <v>2</v>
      </c>
      <c r="FD20">
        <f t="shared" ca="1" si="43"/>
        <v>2</v>
      </c>
      <c r="FE20">
        <f t="shared" ca="1" si="43"/>
        <v>2</v>
      </c>
      <c r="FF20">
        <f t="shared" ca="1" si="43"/>
        <v>1</v>
      </c>
      <c r="FG20">
        <f t="shared" ca="1" si="43"/>
        <v>1</v>
      </c>
      <c r="FH20">
        <f t="shared" ca="1" si="44"/>
        <v>1</v>
      </c>
      <c r="FI20">
        <f t="shared" ca="1" si="44"/>
        <v>2</v>
      </c>
      <c r="FJ20">
        <f t="shared" ca="1" si="44"/>
        <v>2</v>
      </c>
      <c r="FK20">
        <f t="shared" ca="1" si="44"/>
        <v>2</v>
      </c>
      <c r="FL20">
        <f t="shared" ca="1" si="44"/>
        <v>2</v>
      </c>
      <c r="FM20">
        <f t="shared" ca="1" si="44"/>
        <v>2</v>
      </c>
      <c r="FN20">
        <f t="shared" ca="1" si="44"/>
        <v>1</v>
      </c>
      <c r="FO20">
        <f t="shared" ca="1" si="44"/>
        <v>1</v>
      </c>
      <c r="FP20">
        <f t="shared" ca="1" si="44"/>
        <v>2</v>
      </c>
      <c r="FQ20">
        <f t="shared" ca="1" si="44"/>
        <v>2</v>
      </c>
      <c r="FR20">
        <f t="shared" ca="1" si="45"/>
        <v>2</v>
      </c>
      <c r="FS20">
        <f t="shared" ca="1" si="45"/>
        <v>2</v>
      </c>
      <c r="FT20">
        <f t="shared" ca="1" si="45"/>
        <v>2</v>
      </c>
      <c r="FU20">
        <f t="shared" ca="1" si="45"/>
        <v>1</v>
      </c>
      <c r="FV20">
        <f t="shared" ca="1" si="45"/>
        <v>2</v>
      </c>
      <c r="FW20">
        <f t="shared" ca="1" si="45"/>
        <v>1</v>
      </c>
      <c r="FX20">
        <f t="shared" ca="1" si="45"/>
        <v>2</v>
      </c>
      <c r="FY20">
        <f t="shared" ca="1" si="45"/>
        <v>2</v>
      </c>
      <c r="FZ20">
        <f t="shared" ca="1" si="45"/>
        <v>2</v>
      </c>
      <c r="GA20">
        <f t="shared" ca="1" si="45"/>
        <v>2</v>
      </c>
      <c r="GB20">
        <f t="shared" ca="1" si="46"/>
        <v>2</v>
      </c>
      <c r="GC20">
        <f t="shared" ca="1" si="46"/>
        <v>2</v>
      </c>
      <c r="GD20">
        <f t="shared" ca="1" si="46"/>
        <v>1</v>
      </c>
      <c r="GE20">
        <f t="shared" ca="1" si="46"/>
        <v>2</v>
      </c>
      <c r="GF20">
        <f t="shared" ca="1" si="46"/>
        <v>3</v>
      </c>
      <c r="GG20">
        <f t="shared" ca="1" si="46"/>
        <v>2</v>
      </c>
      <c r="GH20">
        <f t="shared" ca="1" si="46"/>
        <v>2</v>
      </c>
      <c r="GI20">
        <f t="shared" ca="1" si="46"/>
        <v>1</v>
      </c>
      <c r="GJ20">
        <f t="shared" ca="1" si="46"/>
        <v>1</v>
      </c>
      <c r="GK20">
        <f t="shared" ca="1" si="46"/>
        <v>39500</v>
      </c>
      <c r="GL20">
        <f t="shared" ca="1" si="46"/>
        <v>2</v>
      </c>
      <c r="GM20">
        <f t="shared" ca="1" si="46"/>
        <v>50</v>
      </c>
      <c r="GN20">
        <f t="shared" ca="1" si="46"/>
        <v>42.47</v>
      </c>
      <c r="GO20">
        <f t="shared" ca="1" si="46"/>
        <v>0</v>
      </c>
      <c r="GP20" s="335"/>
    </row>
    <row r="21" spans="1:198" x14ac:dyDescent="0.25">
      <c r="A21" s="334"/>
      <c r="B21">
        <v>20</v>
      </c>
      <c r="C21" t="s">
        <v>307</v>
      </c>
      <c r="D21">
        <v>41</v>
      </c>
      <c r="E21" s="142" t="s">
        <v>29</v>
      </c>
      <c r="F21">
        <f>'Upload spec'!G79</f>
        <v>2</v>
      </c>
      <c r="G21" s="143" t="s">
        <v>336</v>
      </c>
      <c r="R21" s="335"/>
      <c r="S21" s="4" t="s">
        <v>84</v>
      </c>
      <c r="T21" t="s">
        <v>145</v>
      </c>
      <c r="U21" t="s">
        <v>144</v>
      </c>
      <c r="V21" t="e">
        <f>'CycleRAP Model'!O14</f>
        <v>#REF!</v>
      </c>
      <c r="W21" s="158"/>
      <c r="X21" s="163"/>
      <c r="Y21" s="166"/>
      <c r="Z21" s="166"/>
      <c r="AA21" s="184"/>
      <c r="AB21" s="163"/>
      <c r="AC21" s="166"/>
      <c r="AD21" s="166"/>
      <c r="AE21" s="184"/>
      <c r="AF21" s="206"/>
      <c r="AG21" s="195"/>
      <c r="AH21" s="195"/>
      <c r="AI21" s="206"/>
      <c r="AJ21" s="195"/>
      <c r="AK21" s="195"/>
      <c r="AL21" s="195"/>
      <c r="AM21" s="195"/>
      <c r="AN21" s="195"/>
      <c r="AO21" s="195"/>
      <c r="AP21" s="195"/>
      <c r="AQ21" s="195"/>
      <c r="AR21" s="195"/>
      <c r="AS21" s="195"/>
      <c r="AT21" s="195"/>
      <c r="AU21" s="195"/>
      <c r="AV21" s="206"/>
      <c r="AW21" s="195"/>
      <c r="AX21" s="195"/>
      <c r="AY21" s="195"/>
      <c r="AZ21" s="195"/>
      <c r="BA21" s="195"/>
      <c r="BB21" s="195"/>
      <c r="BC21" s="195"/>
      <c r="BD21" s="195"/>
      <c r="BE21" s="195"/>
      <c r="BF21" s="195"/>
      <c r="BG21" s="195"/>
      <c r="BH21" s="195"/>
      <c r="BI21" s="195"/>
      <c r="BJ21" s="195"/>
      <c r="BK21" s="195"/>
      <c r="BL21" s="195"/>
      <c r="BM21" s="195"/>
      <c r="BN21" s="195"/>
      <c r="BO21" s="195"/>
      <c r="BP21" s="195"/>
      <c r="BQ21" s="195"/>
      <c r="BR21" s="195"/>
      <c r="BS21" s="195"/>
      <c r="BT21" s="195"/>
      <c r="BU21" s="195"/>
      <c r="BV21" s="195"/>
      <c r="BW21" s="195"/>
      <c r="BX21" s="195"/>
      <c r="BY21" s="195"/>
      <c r="BZ21" s="195"/>
      <c r="CA21" s="195"/>
      <c r="CB21" s="195"/>
      <c r="CC21" s="195"/>
      <c r="CD21" s="195"/>
      <c r="CE21" s="195"/>
      <c r="CF21" s="195"/>
      <c r="CG21" s="195"/>
      <c r="CH21" s="195"/>
      <c r="CI21" s="195"/>
      <c r="CJ21" s="195"/>
      <c r="CK21" s="195"/>
      <c r="CL21" s="195"/>
      <c r="CM21" s="195"/>
      <c r="CN21" s="195"/>
      <c r="CO21" s="195"/>
      <c r="CP21" s="195"/>
      <c r="CQ21" s="195"/>
      <c r="CR21" s="195"/>
      <c r="CS21" s="195"/>
      <c r="CT21" s="195"/>
      <c r="CU21" s="195"/>
      <c r="CV21" s="195"/>
      <c r="CW21" s="195"/>
      <c r="CX21" s="195"/>
      <c r="CY21" s="195"/>
      <c r="CZ21" s="195"/>
      <c r="DA21" s="195"/>
      <c r="DB21" s="195"/>
      <c r="DC21" s="195"/>
      <c r="DD21" s="195"/>
      <c r="DE21" s="195"/>
      <c r="DF21" s="195"/>
      <c r="DG21" s="195"/>
      <c r="DH21" s="195"/>
      <c r="DI21" s="195"/>
      <c r="DJ21" s="195"/>
      <c r="DK21" s="195"/>
      <c r="DL21" s="195"/>
      <c r="DM21" s="195"/>
      <c r="DN21" s="195"/>
      <c r="DO21" s="195"/>
      <c r="DP21" s="195"/>
      <c r="DQ21" s="195"/>
      <c r="DR21" s="195"/>
      <c r="DS21" s="195"/>
      <c r="DT21" s="195"/>
      <c r="DU21" s="195"/>
      <c r="DV21" s="195"/>
      <c r="DW21" s="195"/>
      <c r="DX21" s="195"/>
      <c r="EB21" s="335"/>
      <c r="EC21">
        <v>20</v>
      </c>
      <c r="ED21" t="s">
        <v>307</v>
      </c>
      <c r="EE21" t="b" cm="1">
        <f t="array" ref="EE21">IF(SUMPRODUCT(--($EC21=$X$2:$DX$2),--($X$9:$DX$9))&gt;=1,TRUE,FALSE)</f>
        <v>0</v>
      </c>
      <c r="EF21" s="29" t="str">
        <f>'CycleRAP Model'!K22</f>
        <v>Non-fixed obstacle on facility</v>
      </c>
      <c r="EG21">
        <f>'CycleRAP Model'!O22</f>
        <v>2</v>
      </c>
      <c r="EH21" s="335"/>
      <c r="EI21">
        <v>20</v>
      </c>
      <c r="EJ21" t="s">
        <v>307</v>
      </c>
      <c r="EK21" t="b">
        <f t="shared" si="5"/>
        <v>0</v>
      </c>
      <c r="EL21" t="str">
        <f t="shared" ca="1" si="42"/>
        <v>Gabriel G</v>
      </c>
      <c r="EM21">
        <f t="shared" ca="1" si="42"/>
        <v>45076</v>
      </c>
      <c r="EN21">
        <f t="shared" ca="1" si="42"/>
        <v>45076</v>
      </c>
      <c r="EO21" t="str">
        <f t="shared" ca="1" si="42"/>
        <v>F004560</v>
      </c>
      <c r="EP21" t="str">
        <f t="shared" ca="1" si="42"/>
        <v>Carrera 30</v>
      </c>
      <c r="EQ21">
        <f t="shared" ca="1" si="42"/>
        <v>4560</v>
      </c>
      <c r="ER21">
        <f t="shared" ca="1" si="42"/>
        <v>0.01</v>
      </c>
      <c r="ES21">
        <f t="shared" ca="1" si="42"/>
        <v>4.6501536000000003</v>
      </c>
      <c r="ET21">
        <f t="shared" ca="1" si="42"/>
        <v>-74.078029700000002</v>
      </c>
      <c r="EU21">
        <f t="shared" ca="1" si="42"/>
        <v>4.6502423000000004</v>
      </c>
      <c r="EV21">
        <f t="shared" ca="1" si="42"/>
        <v>-74.078021500000006</v>
      </c>
      <c r="EW21" t="e">
        <f t="shared" ca="1" si="42"/>
        <v>#REF!</v>
      </c>
      <c r="EX21">
        <f t="shared" ca="1" si="43"/>
        <v>2</v>
      </c>
      <c r="EY21">
        <f t="shared" ca="1" si="43"/>
        <v>3</v>
      </c>
      <c r="EZ21">
        <f t="shared" ca="1" si="43"/>
        <v>1</v>
      </c>
      <c r="FA21">
        <f t="shared" ca="1" si="43"/>
        <v>2</v>
      </c>
      <c r="FB21">
        <f t="shared" ca="1" si="43"/>
        <v>2</v>
      </c>
      <c r="FC21">
        <f t="shared" ca="1" si="43"/>
        <v>2</v>
      </c>
      <c r="FD21">
        <f t="shared" ca="1" si="43"/>
        <v>2</v>
      </c>
      <c r="FE21">
        <f t="shared" ca="1" si="43"/>
        <v>2</v>
      </c>
      <c r="FF21">
        <f t="shared" ca="1" si="43"/>
        <v>2</v>
      </c>
      <c r="FG21">
        <f t="shared" ca="1" si="43"/>
        <v>1</v>
      </c>
      <c r="FH21">
        <f t="shared" ca="1" si="44"/>
        <v>1</v>
      </c>
      <c r="FI21">
        <f t="shared" ca="1" si="44"/>
        <v>2</v>
      </c>
      <c r="FJ21">
        <f t="shared" ca="1" si="44"/>
        <v>2</v>
      </c>
      <c r="FK21">
        <f t="shared" ca="1" si="44"/>
        <v>2</v>
      </c>
      <c r="FL21">
        <f t="shared" ca="1" si="44"/>
        <v>2</v>
      </c>
      <c r="FM21">
        <f t="shared" ca="1" si="44"/>
        <v>2</v>
      </c>
      <c r="FN21">
        <f t="shared" ca="1" si="44"/>
        <v>1</v>
      </c>
      <c r="FO21">
        <f t="shared" ca="1" si="44"/>
        <v>1</v>
      </c>
      <c r="FP21">
        <f t="shared" ca="1" si="44"/>
        <v>2</v>
      </c>
      <c r="FQ21">
        <f t="shared" ca="1" si="44"/>
        <v>2</v>
      </c>
      <c r="FR21">
        <f t="shared" ca="1" si="45"/>
        <v>2</v>
      </c>
      <c r="FS21">
        <f t="shared" ca="1" si="45"/>
        <v>2</v>
      </c>
      <c r="FT21">
        <f t="shared" ca="1" si="45"/>
        <v>2</v>
      </c>
      <c r="FU21">
        <f t="shared" ca="1" si="45"/>
        <v>1</v>
      </c>
      <c r="FV21">
        <f t="shared" ca="1" si="45"/>
        <v>2</v>
      </c>
      <c r="FW21">
        <f t="shared" ca="1" si="45"/>
        <v>1</v>
      </c>
      <c r="FX21">
        <f t="shared" ca="1" si="45"/>
        <v>2</v>
      </c>
      <c r="FY21">
        <f t="shared" ca="1" si="45"/>
        <v>2</v>
      </c>
      <c r="FZ21">
        <f t="shared" ca="1" si="45"/>
        <v>2</v>
      </c>
      <c r="GA21">
        <f t="shared" ca="1" si="45"/>
        <v>2</v>
      </c>
      <c r="GB21">
        <f t="shared" ca="1" si="46"/>
        <v>2</v>
      </c>
      <c r="GC21">
        <f t="shared" ca="1" si="46"/>
        <v>2</v>
      </c>
      <c r="GD21">
        <f t="shared" ca="1" si="46"/>
        <v>1</v>
      </c>
      <c r="GE21">
        <f t="shared" ca="1" si="46"/>
        <v>2</v>
      </c>
      <c r="GF21">
        <f t="shared" ca="1" si="46"/>
        <v>3</v>
      </c>
      <c r="GG21">
        <f t="shared" ca="1" si="46"/>
        <v>2</v>
      </c>
      <c r="GH21">
        <f t="shared" ca="1" si="46"/>
        <v>2</v>
      </c>
      <c r="GI21">
        <f t="shared" ca="1" si="46"/>
        <v>1</v>
      </c>
      <c r="GJ21">
        <f t="shared" ca="1" si="46"/>
        <v>1</v>
      </c>
      <c r="GK21">
        <f t="shared" ca="1" si="46"/>
        <v>39500</v>
      </c>
      <c r="GL21">
        <f t="shared" ca="1" si="46"/>
        <v>2</v>
      </c>
      <c r="GM21">
        <f t="shared" ca="1" si="46"/>
        <v>50</v>
      </c>
      <c r="GN21">
        <f t="shared" ca="1" si="46"/>
        <v>42.47</v>
      </c>
      <c r="GO21">
        <f t="shared" ca="1" si="46"/>
        <v>0</v>
      </c>
      <c r="GP21" s="335"/>
    </row>
    <row r="22" spans="1:198" x14ac:dyDescent="0.25">
      <c r="A22" s="334"/>
      <c r="B22">
        <v>21</v>
      </c>
      <c r="C22" t="s">
        <v>308</v>
      </c>
      <c r="D22">
        <v>43</v>
      </c>
      <c r="E22" s="142" t="s">
        <v>34</v>
      </c>
      <c r="F22">
        <f>'Upload spec'!G82</f>
        <v>1</v>
      </c>
      <c r="G22" s="143" t="s">
        <v>337</v>
      </c>
      <c r="R22" s="335"/>
      <c r="S22" s="4" t="s">
        <v>11</v>
      </c>
      <c r="T22" s="4" t="s">
        <v>12</v>
      </c>
      <c r="U22" s="157">
        <v>1</v>
      </c>
      <c r="V22" s="157">
        <f>'CycleRAP Model'!O15</f>
        <v>2</v>
      </c>
      <c r="W22" s="162" t="b">
        <f>U22=V22</f>
        <v>0</v>
      </c>
      <c r="X22" s="170"/>
      <c r="Y22" s="171"/>
      <c r="Z22" s="171"/>
      <c r="AA22" s="185"/>
      <c r="AB22" s="170"/>
      <c r="AC22" s="171"/>
      <c r="AD22" s="171"/>
      <c r="AE22" s="185"/>
      <c r="AF22" s="208"/>
      <c r="AG22" s="197"/>
      <c r="AH22" s="197"/>
      <c r="AI22" s="208"/>
      <c r="AJ22" s="197"/>
      <c r="AK22" s="197"/>
      <c r="AL22" s="197"/>
      <c r="AM22" s="197"/>
      <c r="AN22" s="197"/>
      <c r="AO22" s="197"/>
      <c r="AP22" s="197"/>
      <c r="AQ22" s="197"/>
      <c r="AR22" s="197"/>
      <c r="AS22" s="197"/>
      <c r="AT22" s="197"/>
      <c r="AU22" s="197"/>
      <c r="AV22" s="208"/>
      <c r="AW22" s="197"/>
      <c r="AX22" s="197"/>
      <c r="AY22" s="197"/>
      <c r="AZ22" s="197"/>
      <c r="BA22" s="197"/>
      <c r="BB22" s="197"/>
      <c r="BC22" s="197"/>
      <c r="BD22" s="197"/>
      <c r="BE22" s="197"/>
      <c r="BF22" s="197"/>
      <c r="BG22" s="197"/>
      <c r="BH22" s="197"/>
      <c r="BI22" s="197"/>
      <c r="BJ22" s="197"/>
      <c r="BK22" s="197"/>
      <c r="BL22" s="197"/>
      <c r="BM22" s="197"/>
      <c r="BN22" s="197"/>
      <c r="BO22" s="197"/>
      <c r="BP22" s="197"/>
      <c r="BQ22" s="197"/>
      <c r="BR22" s="197"/>
      <c r="BS22" s="197"/>
      <c r="BT22" s="197"/>
      <c r="BU22" s="197"/>
      <c r="BV22" s="197"/>
      <c r="BW22" s="197"/>
      <c r="BX22" s="197"/>
      <c r="BY22" s="197"/>
      <c r="BZ22" s="197"/>
      <c r="CA22" s="197"/>
      <c r="CB22" s="197"/>
      <c r="CC22" s="197"/>
      <c r="CD22" s="197"/>
      <c r="CE22" s="197"/>
      <c r="CF22" s="197"/>
      <c r="CG22" s="197"/>
      <c r="CH22" s="197"/>
      <c r="CI22" s="197"/>
      <c r="CJ22" s="197"/>
      <c r="CK22" s="197"/>
      <c r="CL22" s="197"/>
      <c r="CM22" s="197"/>
      <c r="CN22" s="197"/>
      <c r="CO22" s="197"/>
      <c r="CP22" s="197"/>
      <c r="CQ22" s="197"/>
      <c r="CR22" s="197"/>
      <c r="CS22" s="197"/>
      <c r="CT22" s="197"/>
      <c r="CU22" s="197"/>
      <c r="CV22" s="197"/>
      <c r="CW22" s="197"/>
      <c r="CX22" s="197"/>
      <c r="CY22" s="197"/>
      <c r="CZ22" s="197"/>
      <c r="DA22" s="197"/>
      <c r="DB22" s="197"/>
      <c r="DC22" s="197"/>
      <c r="DD22" s="197"/>
      <c r="DE22" s="197"/>
      <c r="DF22" s="197"/>
      <c r="DG22" s="197"/>
      <c r="DH22" s="197"/>
      <c r="DI22" s="197"/>
      <c r="DJ22" s="197"/>
      <c r="DK22" s="197"/>
      <c r="DL22" s="197"/>
      <c r="DM22" s="197"/>
      <c r="DN22" s="197"/>
      <c r="DO22" s="197"/>
      <c r="DP22" s="197"/>
      <c r="DQ22" s="197"/>
      <c r="DR22" s="197"/>
      <c r="DS22" s="197"/>
      <c r="DT22" s="197"/>
      <c r="DU22" s="197"/>
      <c r="DV22" s="197"/>
      <c r="DW22" s="197"/>
      <c r="DX22" s="197"/>
      <c r="EB22" s="335"/>
      <c r="EC22">
        <v>21</v>
      </c>
      <c r="ED22" t="s">
        <v>308</v>
      </c>
      <c r="EE22" t="b" cm="1">
        <f t="array" ref="EE22">IF(SUMPRODUCT(--($EC22=$X$2:$DX$2),--($X$9:$DX$9))&gt;=1,TRUE,FALSE)</f>
        <v>0</v>
      </c>
      <c r="EF22" s="29" t="str">
        <f>'CycleRAP Model'!K23</f>
        <v>Delineation</v>
      </c>
      <c r="EG22">
        <f>'CycleRAP Model'!O23</f>
        <v>2</v>
      </c>
      <c r="EH22" s="335"/>
      <c r="EI22">
        <v>21</v>
      </c>
      <c r="EJ22" t="s">
        <v>308</v>
      </c>
      <c r="EK22" t="b">
        <f t="shared" si="5"/>
        <v>0</v>
      </c>
      <c r="EL22" t="str">
        <f t="shared" ref="EL22:EW29" ca="1" si="47">OFFSET($EF$1,MATCH(EL$1,$EF$2:$EF$59,0),1)</f>
        <v>Gabriel G</v>
      </c>
      <c r="EM22">
        <f t="shared" ca="1" si="47"/>
        <v>45076</v>
      </c>
      <c r="EN22">
        <f t="shared" ca="1" si="47"/>
        <v>45076</v>
      </c>
      <c r="EO22" t="str">
        <f t="shared" ca="1" si="47"/>
        <v>F004560</v>
      </c>
      <c r="EP22" t="str">
        <f t="shared" ca="1" si="47"/>
        <v>Carrera 30</v>
      </c>
      <c r="EQ22">
        <f t="shared" ca="1" si="47"/>
        <v>4560</v>
      </c>
      <c r="ER22">
        <f t="shared" ca="1" si="47"/>
        <v>0.01</v>
      </c>
      <c r="ES22">
        <f t="shared" ca="1" si="47"/>
        <v>4.6501536000000003</v>
      </c>
      <c r="ET22">
        <f t="shared" ca="1" si="47"/>
        <v>-74.078029700000002</v>
      </c>
      <c r="EU22">
        <f t="shared" ca="1" si="47"/>
        <v>4.6502423000000004</v>
      </c>
      <c r="EV22">
        <f t="shared" ca="1" si="47"/>
        <v>-74.078021500000006</v>
      </c>
      <c r="EW22" t="e">
        <f t="shared" ca="1" si="47"/>
        <v>#REF!</v>
      </c>
      <c r="EX22">
        <f t="shared" ref="EX22:FG29" ca="1" si="48">IF($EK22=FALSE,OFFSET($EF$1,MATCH(EX$1,$EF$2:$EF$507,0),1),IF($E22=EX$1,$F22,IF($J22=EX$1,$K22,IF($O22=EX$1,$P22,OFFSET($EF$1,MATCH(EX$1,$EF$2:$EF$507,0),1)))))</f>
        <v>2</v>
      </c>
      <c r="EY22">
        <f t="shared" ca="1" si="48"/>
        <v>3</v>
      </c>
      <c r="EZ22">
        <f t="shared" ca="1" si="48"/>
        <v>1</v>
      </c>
      <c r="FA22">
        <f t="shared" ca="1" si="48"/>
        <v>2</v>
      </c>
      <c r="FB22">
        <f t="shared" ca="1" si="48"/>
        <v>2</v>
      </c>
      <c r="FC22">
        <f t="shared" ca="1" si="48"/>
        <v>2</v>
      </c>
      <c r="FD22">
        <f t="shared" ca="1" si="48"/>
        <v>2</v>
      </c>
      <c r="FE22">
        <f t="shared" ca="1" si="48"/>
        <v>2</v>
      </c>
      <c r="FF22">
        <f t="shared" ca="1" si="48"/>
        <v>2</v>
      </c>
      <c r="FG22">
        <f t="shared" ca="1" si="48"/>
        <v>1</v>
      </c>
      <c r="FH22">
        <f t="shared" ref="FH22:FQ29" ca="1" si="49">IF($EK22=FALSE,OFFSET($EF$1,MATCH(FH$1,$EF$2:$EF$507,0),1),IF($E22=FH$1,$F22,IF($J22=FH$1,$K22,IF($O22=FH$1,$P22,OFFSET($EF$1,MATCH(FH$1,$EF$2:$EF$507,0),1)))))</f>
        <v>1</v>
      </c>
      <c r="FI22">
        <f t="shared" ca="1" si="49"/>
        <v>2</v>
      </c>
      <c r="FJ22">
        <f t="shared" ca="1" si="49"/>
        <v>2</v>
      </c>
      <c r="FK22">
        <f t="shared" ca="1" si="49"/>
        <v>2</v>
      </c>
      <c r="FL22">
        <f t="shared" ca="1" si="49"/>
        <v>2</v>
      </c>
      <c r="FM22">
        <f t="shared" ca="1" si="49"/>
        <v>2</v>
      </c>
      <c r="FN22">
        <f t="shared" ca="1" si="49"/>
        <v>1</v>
      </c>
      <c r="FO22">
        <f t="shared" ca="1" si="49"/>
        <v>1</v>
      </c>
      <c r="FP22">
        <f t="shared" ca="1" si="49"/>
        <v>2</v>
      </c>
      <c r="FQ22">
        <f t="shared" ca="1" si="49"/>
        <v>2</v>
      </c>
      <c r="FR22">
        <f t="shared" ref="FR22:GA29" ca="1" si="50">IF($EK22=FALSE,OFFSET($EF$1,MATCH(FR$1,$EF$2:$EF$507,0),1),IF($E22=FR$1,$F22,IF($J22=FR$1,$K22,IF($O22=FR$1,$P22,OFFSET($EF$1,MATCH(FR$1,$EF$2:$EF$507,0),1)))))</f>
        <v>2</v>
      </c>
      <c r="FS22">
        <f t="shared" ca="1" si="50"/>
        <v>2</v>
      </c>
      <c r="FT22">
        <f t="shared" ca="1" si="50"/>
        <v>2</v>
      </c>
      <c r="FU22">
        <f t="shared" ca="1" si="50"/>
        <v>1</v>
      </c>
      <c r="FV22">
        <f t="shared" ca="1" si="50"/>
        <v>2</v>
      </c>
      <c r="FW22">
        <f t="shared" ca="1" si="50"/>
        <v>1</v>
      </c>
      <c r="FX22">
        <f t="shared" ca="1" si="50"/>
        <v>2</v>
      </c>
      <c r="FY22">
        <f t="shared" ca="1" si="50"/>
        <v>2</v>
      </c>
      <c r="FZ22">
        <f t="shared" ca="1" si="50"/>
        <v>2</v>
      </c>
      <c r="GA22">
        <f t="shared" ca="1" si="50"/>
        <v>2</v>
      </c>
      <c r="GB22">
        <f t="shared" ref="GB22:GO29" ca="1" si="51">IF($EK22=FALSE,OFFSET($EF$1,MATCH(GB$1,$EF$2:$EF$507,0),1),IF($E22=GB$1,$F22,IF($J22=GB$1,$K22,IF($O22=GB$1,$P22,OFFSET($EF$1,MATCH(GB$1,$EF$2:$EF$507,0),1)))))</f>
        <v>2</v>
      </c>
      <c r="GC22">
        <f t="shared" ca="1" si="51"/>
        <v>2</v>
      </c>
      <c r="GD22">
        <f t="shared" ca="1" si="51"/>
        <v>1</v>
      </c>
      <c r="GE22">
        <f t="shared" ca="1" si="51"/>
        <v>2</v>
      </c>
      <c r="GF22">
        <f t="shared" ca="1" si="51"/>
        <v>3</v>
      </c>
      <c r="GG22">
        <f t="shared" ca="1" si="51"/>
        <v>2</v>
      </c>
      <c r="GH22">
        <f t="shared" ca="1" si="51"/>
        <v>2</v>
      </c>
      <c r="GI22">
        <f t="shared" ca="1" si="51"/>
        <v>1</v>
      </c>
      <c r="GJ22">
        <f t="shared" ca="1" si="51"/>
        <v>1</v>
      </c>
      <c r="GK22">
        <f t="shared" ca="1" si="51"/>
        <v>39500</v>
      </c>
      <c r="GL22">
        <f t="shared" ca="1" si="51"/>
        <v>2</v>
      </c>
      <c r="GM22">
        <f t="shared" ca="1" si="51"/>
        <v>50</v>
      </c>
      <c r="GN22">
        <f t="shared" ca="1" si="51"/>
        <v>42.47</v>
      </c>
      <c r="GO22">
        <f t="shared" ca="1" si="51"/>
        <v>0</v>
      </c>
      <c r="GP22" s="335"/>
    </row>
    <row r="23" spans="1:198" x14ac:dyDescent="0.25">
      <c r="A23" s="334"/>
      <c r="B23">
        <v>22</v>
      </c>
      <c r="C23" t="s">
        <v>309</v>
      </c>
      <c r="D23">
        <v>42</v>
      </c>
      <c r="E23" s="147" t="s">
        <v>32</v>
      </c>
      <c r="F23">
        <f>'Upload spec'!G81</f>
        <v>2</v>
      </c>
      <c r="G23" s="143" t="s">
        <v>22</v>
      </c>
      <c r="R23" s="335"/>
      <c r="S23" t="str">
        <f>S22</f>
        <v>Area type</v>
      </c>
      <c r="T23" t="s">
        <v>180</v>
      </c>
      <c r="U23" s="169">
        <v>2</v>
      </c>
      <c r="V23" s="169">
        <f>'CycleRAP Model'!O15</f>
        <v>2</v>
      </c>
      <c r="W23" s="158" t="b">
        <f t="shared" ref="W23:W87" si="52">U23=V23</f>
        <v>1</v>
      </c>
      <c r="X23" s="163"/>
      <c r="Y23" s="163"/>
      <c r="Z23" s="163"/>
      <c r="AA23" s="181"/>
      <c r="AB23" s="163"/>
      <c r="AC23" s="163"/>
      <c r="AD23" s="163"/>
      <c r="AE23" s="181"/>
      <c r="AF23" s="206"/>
      <c r="AG23" s="195"/>
      <c r="AH23" s="195"/>
      <c r="AI23" s="206"/>
      <c r="AJ23" s="195"/>
      <c r="AK23" s="195"/>
      <c r="AL23" s="195"/>
      <c r="AM23" s="195"/>
      <c r="AN23" s="195"/>
      <c r="AO23" s="195"/>
      <c r="AP23" s="195"/>
      <c r="AQ23" s="195"/>
      <c r="AR23" s="195"/>
      <c r="AS23" s="195"/>
      <c r="AT23" s="195"/>
      <c r="AU23" s="195"/>
      <c r="AV23" s="206"/>
      <c r="AW23" s="195"/>
      <c r="AX23" s="195"/>
      <c r="AY23" s="195"/>
      <c r="AZ23" s="195"/>
      <c r="BA23" s="195"/>
      <c r="BB23" s="195"/>
      <c r="BC23" s="195"/>
      <c r="BD23" s="195"/>
      <c r="BE23" s="195"/>
      <c r="BF23" s="195"/>
      <c r="BG23" s="195"/>
      <c r="BH23" s="195"/>
      <c r="BI23" s="195"/>
      <c r="BJ23" s="195"/>
      <c r="BK23" s="195"/>
      <c r="BL23" s="195"/>
      <c r="BM23" s="195"/>
      <c r="BN23" s="195"/>
      <c r="BO23" s="195"/>
      <c r="BP23" s="195"/>
      <c r="BQ23" s="195"/>
      <c r="BR23" s="195"/>
      <c r="BS23" s="195"/>
      <c r="BT23" s="195"/>
      <c r="BU23" s="195"/>
      <c r="BV23" s="195"/>
      <c r="BW23" s="195"/>
      <c r="BX23" s="195"/>
      <c r="BY23" s="195"/>
      <c r="BZ23" s="195"/>
      <c r="CA23" s="195"/>
      <c r="CB23" s="195"/>
      <c r="CC23" s="195"/>
      <c r="CD23" s="195"/>
      <c r="CE23" s="195"/>
      <c r="CF23" s="195"/>
      <c r="CG23" s="195"/>
      <c r="CH23" s="195"/>
      <c r="CI23" s="195"/>
      <c r="CJ23" s="195"/>
      <c r="CK23" s="195"/>
      <c r="CL23" s="195"/>
      <c r="CM23" s="195"/>
      <c r="CN23" s="195"/>
      <c r="CO23" s="195"/>
      <c r="CP23" s="195"/>
      <c r="CQ23" s="195"/>
      <c r="CR23" s="195"/>
      <c r="CS23" s="195"/>
      <c r="CT23" s="195"/>
      <c r="CU23" s="195"/>
      <c r="CV23" s="195"/>
      <c r="CW23" s="195"/>
      <c r="CX23" s="195"/>
      <c r="CY23" s="195"/>
      <c r="CZ23" s="195"/>
      <c r="DA23" s="195"/>
      <c r="DB23" s="195"/>
      <c r="DC23" s="195"/>
      <c r="DD23" s="195"/>
      <c r="DE23" s="195"/>
      <c r="DF23" s="195"/>
      <c r="DG23" s="195"/>
      <c r="DH23" s="195"/>
      <c r="DI23" s="195"/>
      <c r="DJ23" s="195"/>
      <c r="DK23" s="195"/>
      <c r="DL23" s="195"/>
      <c r="DM23" s="195"/>
      <c r="DN23" s="195"/>
      <c r="DO23" s="195"/>
      <c r="DP23" s="195"/>
      <c r="DQ23" s="195"/>
      <c r="DR23" s="195"/>
      <c r="DS23" s="195"/>
      <c r="DT23" s="195"/>
      <c r="DU23" s="195"/>
      <c r="DV23" s="195"/>
      <c r="DW23" s="195"/>
      <c r="DX23" s="195"/>
      <c r="EB23" s="335"/>
      <c r="EC23">
        <v>22</v>
      </c>
      <c r="ED23" t="s">
        <v>309</v>
      </c>
      <c r="EE23" t="b" cm="1">
        <f t="array" ref="EE23">IF(SUMPRODUCT(--($EC23=$X$2:$DX$2),--($X$9:$DX$9))&gt;=1,TRUE,FALSE)</f>
        <v>0</v>
      </c>
      <c r="EF23" s="29" t="str">
        <f>'CycleRAP Model'!K24</f>
        <v>Light segregation</v>
      </c>
      <c r="EG23">
        <f>'CycleRAP Model'!O24</f>
        <v>1</v>
      </c>
      <c r="EH23" s="335"/>
      <c r="EI23">
        <v>22</v>
      </c>
      <c r="EJ23" t="s">
        <v>309</v>
      </c>
      <c r="EK23" t="b">
        <f t="shared" si="5"/>
        <v>0</v>
      </c>
      <c r="EL23" t="str">
        <f t="shared" ca="1" si="47"/>
        <v>Gabriel G</v>
      </c>
      <c r="EM23">
        <f t="shared" ca="1" si="47"/>
        <v>45076</v>
      </c>
      <c r="EN23">
        <f t="shared" ca="1" si="47"/>
        <v>45076</v>
      </c>
      <c r="EO23" t="str">
        <f t="shared" ca="1" si="47"/>
        <v>F004560</v>
      </c>
      <c r="EP23" t="str">
        <f t="shared" ca="1" si="47"/>
        <v>Carrera 30</v>
      </c>
      <c r="EQ23">
        <f t="shared" ca="1" si="47"/>
        <v>4560</v>
      </c>
      <c r="ER23">
        <f t="shared" ca="1" si="47"/>
        <v>0.01</v>
      </c>
      <c r="ES23">
        <f t="shared" ca="1" si="47"/>
        <v>4.6501536000000003</v>
      </c>
      <c r="ET23">
        <f t="shared" ca="1" si="47"/>
        <v>-74.078029700000002</v>
      </c>
      <c r="EU23">
        <f t="shared" ca="1" si="47"/>
        <v>4.6502423000000004</v>
      </c>
      <c r="EV23">
        <f t="shared" ca="1" si="47"/>
        <v>-74.078021500000006</v>
      </c>
      <c r="EW23" t="e">
        <f t="shared" ca="1" si="47"/>
        <v>#REF!</v>
      </c>
      <c r="EX23">
        <f t="shared" ca="1" si="48"/>
        <v>2</v>
      </c>
      <c r="EY23">
        <f t="shared" ca="1" si="48"/>
        <v>3</v>
      </c>
      <c r="EZ23">
        <f t="shared" ca="1" si="48"/>
        <v>1</v>
      </c>
      <c r="FA23">
        <f t="shared" ca="1" si="48"/>
        <v>2</v>
      </c>
      <c r="FB23">
        <f t="shared" ca="1" si="48"/>
        <v>2</v>
      </c>
      <c r="FC23">
        <f t="shared" ca="1" si="48"/>
        <v>2</v>
      </c>
      <c r="FD23">
        <f t="shared" ca="1" si="48"/>
        <v>2</v>
      </c>
      <c r="FE23">
        <f t="shared" ca="1" si="48"/>
        <v>2</v>
      </c>
      <c r="FF23">
        <f t="shared" ca="1" si="48"/>
        <v>2</v>
      </c>
      <c r="FG23">
        <f t="shared" ca="1" si="48"/>
        <v>1</v>
      </c>
      <c r="FH23">
        <f t="shared" ca="1" si="49"/>
        <v>1</v>
      </c>
      <c r="FI23">
        <f t="shared" ca="1" si="49"/>
        <v>2</v>
      </c>
      <c r="FJ23">
        <f t="shared" ca="1" si="49"/>
        <v>2</v>
      </c>
      <c r="FK23">
        <f t="shared" ca="1" si="49"/>
        <v>2</v>
      </c>
      <c r="FL23">
        <f t="shared" ca="1" si="49"/>
        <v>2</v>
      </c>
      <c r="FM23">
        <f t="shared" ca="1" si="49"/>
        <v>2</v>
      </c>
      <c r="FN23">
        <f t="shared" ca="1" si="49"/>
        <v>1</v>
      </c>
      <c r="FO23">
        <f t="shared" ca="1" si="49"/>
        <v>1</v>
      </c>
      <c r="FP23">
        <f t="shared" ca="1" si="49"/>
        <v>2</v>
      </c>
      <c r="FQ23">
        <f t="shared" ca="1" si="49"/>
        <v>2</v>
      </c>
      <c r="FR23">
        <f t="shared" ca="1" si="50"/>
        <v>2</v>
      </c>
      <c r="FS23">
        <f t="shared" ca="1" si="50"/>
        <v>2</v>
      </c>
      <c r="FT23">
        <f t="shared" ca="1" si="50"/>
        <v>2</v>
      </c>
      <c r="FU23">
        <f t="shared" ca="1" si="50"/>
        <v>1</v>
      </c>
      <c r="FV23">
        <f t="shared" ca="1" si="50"/>
        <v>2</v>
      </c>
      <c r="FW23">
        <f t="shared" ca="1" si="50"/>
        <v>1</v>
      </c>
      <c r="FX23">
        <f t="shared" ca="1" si="50"/>
        <v>2</v>
      </c>
      <c r="FY23">
        <f t="shared" ca="1" si="50"/>
        <v>2</v>
      </c>
      <c r="FZ23">
        <f t="shared" ca="1" si="50"/>
        <v>2</v>
      </c>
      <c r="GA23">
        <f t="shared" ca="1" si="50"/>
        <v>2</v>
      </c>
      <c r="GB23">
        <f t="shared" ca="1" si="51"/>
        <v>2</v>
      </c>
      <c r="GC23">
        <f t="shared" ca="1" si="51"/>
        <v>2</v>
      </c>
      <c r="GD23">
        <f t="shared" ca="1" si="51"/>
        <v>1</v>
      </c>
      <c r="GE23">
        <f t="shared" ca="1" si="51"/>
        <v>2</v>
      </c>
      <c r="GF23">
        <f t="shared" ca="1" si="51"/>
        <v>3</v>
      </c>
      <c r="GG23">
        <f t="shared" ca="1" si="51"/>
        <v>2</v>
      </c>
      <c r="GH23">
        <f t="shared" ca="1" si="51"/>
        <v>2</v>
      </c>
      <c r="GI23">
        <f t="shared" ca="1" si="51"/>
        <v>1</v>
      </c>
      <c r="GJ23">
        <f t="shared" ca="1" si="51"/>
        <v>1</v>
      </c>
      <c r="GK23">
        <f t="shared" ca="1" si="51"/>
        <v>39500</v>
      </c>
      <c r="GL23">
        <f t="shared" ca="1" si="51"/>
        <v>2</v>
      </c>
      <c r="GM23">
        <f t="shared" ca="1" si="51"/>
        <v>50</v>
      </c>
      <c r="GN23">
        <f t="shared" ca="1" si="51"/>
        <v>42.47</v>
      </c>
      <c r="GO23">
        <f t="shared" ca="1" si="51"/>
        <v>0</v>
      </c>
      <c r="GP23" s="335"/>
    </row>
    <row r="24" spans="1:198" ht="22.8" x14ac:dyDescent="0.25">
      <c r="A24" s="334"/>
      <c r="B24">
        <v>23</v>
      </c>
      <c r="C24" t="s">
        <v>310</v>
      </c>
      <c r="D24">
        <v>27</v>
      </c>
      <c r="E24" s="142" t="s">
        <v>51</v>
      </c>
      <c r="F24">
        <f>'Upload spec'!G51</f>
        <v>2</v>
      </c>
      <c r="G24" s="143" t="s">
        <v>22</v>
      </c>
      <c r="R24" s="335"/>
      <c r="S24" t="str">
        <f t="shared" ref="S24:S25" si="53">S23</f>
        <v>Area type</v>
      </c>
      <c r="T24" t="s">
        <v>182</v>
      </c>
      <c r="U24" s="169">
        <v>3</v>
      </c>
      <c r="V24" s="169">
        <f>'CycleRAP Model'!O15</f>
        <v>2</v>
      </c>
      <c r="W24" s="158" t="b">
        <f t="shared" si="52"/>
        <v>0</v>
      </c>
      <c r="X24" s="163"/>
      <c r="Y24" s="163"/>
      <c r="Z24" s="163"/>
      <c r="AA24" s="181"/>
      <c r="AB24" s="163"/>
      <c r="AC24" s="163"/>
      <c r="AD24" s="163"/>
      <c r="AE24" s="181"/>
      <c r="AF24" s="206"/>
      <c r="AG24" s="195"/>
      <c r="AH24" s="195"/>
      <c r="AI24" s="206"/>
      <c r="AJ24" s="195"/>
      <c r="AK24" s="195"/>
      <c r="AL24" s="195"/>
      <c r="AM24" s="195"/>
      <c r="AN24" s="195"/>
      <c r="AO24" s="195"/>
      <c r="AP24" s="195"/>
      <c r="AQ24" s="195"/>
      <c r="AR24" s="195"/>
      <c r="AS24" s="195"/>
      <c r="AT24" s="195"/>
      <c r="AU24" s="195"/>
      <c r="AV24" s="206"/>
      <c r="AW24" s="195"/>
      <c r="AX24" s="195"/>
      <c r="AY24" s="195"/>
      <c r="AZ24" s="195"/>
      <c r="BA24" s="195"/>
      <c r="BB24" s="195"/>
      <c r="BC24" s="195"/>
      <c r="BD24" s="195"/>
      <c r="BE24" s="195"/>
      <c r="BF24" s="195"/>
      <c r="BG24" s="195"/>
      <c r="BH24" s="195"/>
      <c r="BI24" s="195"/>
      <c r="BJ24" s="195"/>
      <c r="BK24" s="195"/>
      <c r="BL24" s="195"/>
      <c r="BM24" s="195"/>
      <c r="BN24" s="195"/>
      <c r="BO24" s="195"/>
      <c r="BP24" s="195"/>
      <c r="BQ24" s="195"/>
      <c r="BR24" s="195"/>
      <c r="BS24" s="195"/>
      <c r="BT24" s="195"/>
      <c r="BU24" s="195"/>
      <c r="BV24" s="195"/>
      <c r="BW24" s="195"/>
      <c r="BX24" s="195"/>
      <c r="BY24" s="195"/>
      <c r="BZ24" s="195"/>
      <c r="CA24" s="195"/>
      <c r="CB24" s="195"/>
      <c r="CC24" s="195"/>
      <c r="CD24" s="195"/>
      <c r="CE24" s="195"/>
      <c r="CF24" s="195"/>
      <c r="CG24" s="195"/>
      <c r="CH24" s="195"/>
      <c r="CI24" s="195"/>
      <c r="CJ24" s="195"/>
      <c r="CK24" s="195"/>
      <c r="CL24" s="195"/>
      <c r="CM24" s="195"/>
      <c r="CN24" s="195"/>
      <c r="CO24" s="195"/>
      <c r="CP24" s="195"/>
      <c r="CQ24" s="195"/>
      <c r="CR24" s="195"/>
      <c r="CS24" s="195"/>
      <c r="CT24" s="195"/>
      <c r="CU24" s="195"/>
      <c r="CV24" s="195"/>
      <c r="CW24" s="195"/>
      <c r="CX24" s="195"/>
      <c r="CY24" s="195"/>
      <c r="CZ24" s="195"/>
      <c r="DA24" s="195"/>
      <c r="DB24" s="195"/>
      <c r="DC24" s="195"/>
      <c r="DD24" s="195"/>
      <c r="DE24" s="195"/>
      <c r="DF24" s="195"/>
      <c r="DG24" s="195"/>
      <c r="DH24" s="195"/>
      <c r="DI24" s="195"/>
      <c r="DJ24" s="195"/>
      <c r="DK24" s="195"/>
      <c r="DL24" s="195"/>
      <c r="DM24" s="195"/>
      <c r="DN24" s="195"/>
      <c r="DO24" s="195"/>
      <c r="DP24" s="195"/>
      <c r="DQ24" s="195"/>
      <c r="DR24" s="195"/>
      <c r="DS24" s="195"/>
      <c r="DT24" s="195"/>
      <c r="DU24" s="195"/>
      <c r="DV24" s="195"/>
      <c r="DW24" s="195"/>
      <c r="DX24" s="195"/>
      <c r="EB24" s="335"/>
      <c r="EC24">
        <v>23</v>
      </c>
      <c r="ED24" t="s">
        <v>310</v>
      </c>
      <c r="EE24" t="b" cm="1">
        <f t="array" ref="EE24">IF(SUMPRODUCT(--($EC24=$X$2:$DX$2),--($X$9:$DX$9))&gt;=1,TRUE,FALSE)</f>
        <v>0</v>
      </c>
      <c r="EF24" s="29" t="str">
        <f>'CycleRAP Model'!K25</f>
        <v>Facility width per direction</v>
      </c>
      <c r="EG24">
        <f>'CycleRAP Model'!O25</f>
        <v>1</v>
      </c>
      <c r="EH24" s="335"/>
      <c r="EI24">
        <v>23</v>
      </c>
      <c r="EJ24" t="s">
        <v>310</v>
      </c>
      <c r="EK24" t="b">
        <f t="shared" si="5"/>
        <v>0</v>
      </c>
      <c r="EL24" t="str">
        <f t="shared" ca="1" si="47"/>
        <v>Gabriel G</v>
      </c>
      <c r="EM24">
        <f t="shared" ca="1" si="47"/>
        <v>45076</v>
      </c>
      <c r="EN24">
        <f t="shared" ca="1" si="47"/>
        <v>45076</v>
      </c>
      <c r="EO24" t="str">
        <f t="shared" ca="1" si="47"/>
        <v>F004560</v>
      </c>
      <c r="EP24" t="str">
        <f t="shared" ca="1" si="47"/>
        <v>Carrera 30</v>
      </c>
      <c r="EQ24">
        <f t="shared" ca="1" si="47"/>
        <v>4560</v>
      </c>
      <c r="ER24">
        <f t="shared" ca="1" si="47"/>
        <v>0.01</v>
      </c>
      <c r="ES24">
        <f t="shared" ca="1" si="47"/>
        <v>4.6501536000000003</v>
      </c>
      <c r="ET24">
        <f t="shared" ca="1" si="47"/>
        <v>-74.078029700000002</v>
      </c>
      <c r="EU24">
        <f t="shared" ca="1" si="47"/>
        <v>4.6502423000000004</v>
      </c>
      <c r="EV24">
        <f t="shared" ca="1" si="47"/>
        <v>-74.078021500000006</v>
      </c>
      <c r="EW24" t="e">
        <f t="shared" ca="1" si="47"/>
        <v>#REF!</v>
      </c>
      <c r="EX24">
        <f t="shared" ca="1" si="48"/>
        <v>2</v>
      </c>
      <c r="EY24">
        <f t="shared" ca="1" si="48"/>
        <v>3</v>
      </c>
      <c r="EZ24">
        <f t="shared" ca="1" si="48"/>
        <v>1</v>
      </c>
      <c r="FA24">
        <f t="shared" ca="1" si="48"/>
        <v>2</v>
      </c>
      <c r="FB24">
        <f t="shared" ca="1" si="48"/>
        <v>2</v>
      </c>
      <c r="FC24">
        <f t="shared" ca="1" si="48"/>
        <v>2</v>
      </c>
      <c r="FD24">
        <f t="shared" ca="1" si="48"/>
        <v>2</v>
      </c>
      <c r="FE24">
        <f t="shared" ca="1" si="48"/>
        <v>2</v>
      </c>
      <c r="FF24">
        <f t="shared" ca="1" si="48"/>
        <v>2</v>
      </c>
      <c r="FG24">
        <f t="shared" ca="1" si="48"/>
        <v>1</v>
      </c>
      <c r="FH24">
        <f t="shared" ca="1" si="49"/>
        <v>1</v>
      </c>
      <c r="FI24">
        <f t="shared" ca="1" si="49"/>
        <v>2</v>
      </c>
      <c r="FJ24">
        <f t="shared" ca="1" si="49"/>
        <v>2</v>
      </c>
      <c r="FK24">
        <f t="shared" ca="1" si="49"/>
        <v>2</v>
      </c>
      <c r="FL24">
        <f t="shared" ca="1" si="49"/>
        <v>2</v>
      </c>
      <c r="FM24">
        <f t="shared" ca="1" si="49"/>
        <v>2</v>
      </c>
      <c r="FN24">
        <f t="shared" ca="1" si="49"/>
        <v>1</v>
      </c>
      <c r="FO24">
        <f t="shared" ca="1" si="49"/>
        <v>1</v>
      </c>
      <c r="FP24">
        <f t="shared" ca="1" si="49"/>
        <v>2</v>
      </c>
      <c r="FQ24">
        <f t="shared" ca="1" si="49"/>
        <v>2</v>
      </c>
      <c r="FR24">
        <f t="shared" ca="1" si="50"/>
        <v>2</v>
      </c>
      <c r="FS24">
        <f t="shared" ca="1" si="50"/>
        <v>2</v>
      </c>
      <c r="FT24">
        <f t="shared" ca="1" si="50"/>
        <v>2</v>
      </c>
      <c r="FU24">
        <f t="shared" ca="1" si="50"/>
        <v>1</v>
      </c>
      <c r="FV24">
        <f t="shared" ca="1" si="50"/>
        <v>2</v>
      </c>
      <c r="FW24">
        <f t="shared" ca="1" si="50"/>
        <v>1</v>
      </c>
      <c r="FX24">
        <f t="shared" ca="1" si="50"/>
        <v>2</v>
      </c>
      <c r="FY24">
        <f t="shared" ca="1" si="50"/>
        <v>2</v>
      </c>
      <c r="FZ24">
        <f t="shared" ca="1" si="50"/>
        <v>2</v>
      </c>
      <c r="GA24">
        <f t="shared" ca="1" si="50"/>
        <v>2</v>
      </c>
      <c r="GB24">
        <f t="shared" ca="1" si="51"/>
        <v>2</v>
      </c>
      <c r="GC24">
        <f t="shared" ca="1" si="51"/>
        <v>2</v>
      </c>
      <c r="GD24">
        <f t="shared" ca="1" si="51"/>
        <v>1</v>
      </c>
      <c r="GE24">
        <f t="shared" ca="1" si="51"/>
        <v>2</v>
      </c>
      <c r="GF24">
        <f t="shared" ca="1" si="51"/>
        <v>3</v>
      </c>
      <c r="GG24">
        <f t="shared" ca="1" si="51"/>
        <v>2</v>
      </c>
      <c r="GH24">
        <f t="shared" ca="1" si="51"/>
        <v>2</v>
      </c>
      <c r="GI24">
        <f t="shared" ca="1" si="51"/>
        <v>1</v>
      </c>
      <c r="GJ24">
        <f t="shared" ca="1" si="51"/>
        <v>1</v>
      </c>
      <c r="GK24">
        <f t="shared" ca="1" si="51"/>
        <v>39500</v>
      </c>
      <c r="GL24">
        <f t="shared" ca="1" si="51"/>
        <v>2</v>
      </c>
      <c r="GM24">
        <f t="shared" ca="1" si="51"/>
        <v>50</v>
      </c>
      <c r="GN24">
        <f t="shared" ca="1" si="51"/>
        <v>42.47</v>
      </c>
      <c r="GO24">
        <f t="shared" ca="1" si="51"/>
        <v>0</v>
      </c>
      <c r="GP24" s="335"/>
    </row>
    <row r="25" spans="1:198" x14ac:dyDescent="0.25">
      <c r="A25" s="334"/>
      <c r="B25">
        <v>24</v>
      </c>
      <c r="C25" t="s">
        <v>311</v>
      </c>
      <c r="D25">
        <v>17</v>
      </c>
      <c r="E25" s="142" t="s">
        <v>26</v>
      </c>
      <c r="F25">
        <f>'Upload spec'!G30</f>
        <v>2</v>
      </c>
      <c r="G25" s="143" t="s">
        <v>22</v>
      </c>
      <c r="R25" s="335"/>
      <c r="S25" t="str">
        <f t="shared" si="53"/>
        <v>Area type</v>
      </c>
      <c r="T25" t="s">
        <v>183</v>
      </c>
      <c r="U25" s="169">
        <v>4</v>
      </c>
      <c r="V25" s="169">
        <f>'CycleRAP Model'!O15</f>
        <v>2</v>
      </c>
      <c r="W25" s="158" t="b">
        <f t="shared" si="52"/>
        <v>0</v>
      </c>
      <c r="X25" s="163"/>
      <c r="Y25" s="166"/>
      <c r="Z25" s="166"/>
      <c r="AA25" s="184"/>
      <c r="AB25" s="163"/>
      <c r="AC25" s="166"/>
      <c r="AD25" s="166"/>
      <c r="AE25" s="184"/>
      <c r="AF25" s="206"/>
      <c r="AG25" s="195"/>
      <c r="AH25" s="195"/>
      <c r="AI25" s="206"/>
      <c r="AJ25" s="195"/>
      <c r="AK25" s="195"/>
      <c r="AL25" s="195"/>
      <c r="AM25" s="195"/>
      <c r="AN25" s="195"/>
      <c r="AO25" s="195"/>
      <c r="AP25" s="195"/>
      <c r="AQ25" s="195"/>
      <c r="AR25" s="195"/>
      <c r="AS25" s="195"/>
      <c r="AT25" s="195"/>
      <c r="AU25" s="195"/>
      <c r="AV25" s="206"/>
      <c r="AW25" s="195"/>
      <c r="AX25" s="195"/>
      <c r="AY25" s="195"/>
      <c r="AZ25" s="195"/>
      <c r="BA25" s="195"/>
      <c r="BB25" s="195"/>
      <c r="BC25" s="195"/>
      <c r="BD25" s="195"/>
      <c r="BE25" s="195"/>
      <c r="BF25" s="195"/>
      <c r="BG25" s="195"/>
      <c r="BH25" s="195"/>
      <c r="BI25" s="195"/>
      <c r="BJ25" s="195"/>
      <c r="BK25" s="195"/>
      <c r="BL25" s="195"/>
      <c r="BM25" s="195"/>
      <c r="BN25" s="195"/>
      <c r="BO25" s="195"/>
      <c r="BP25" s="195"/>
      <c r="BQ25" s="195"/>
      <c r="BR25" s="195"/>
      <c r="BS25" s="195"/>
      <c r="BT25" s="195"/>
      <c r="BU25" s="195"/>
      <c r="BV25" s="195"/>
      <c r="BW25" s="195"/>
      <c r="BX25" s="195"/>
      <c r="BY25" s="195"/>
      <c r="BZ25" s="195"/>
      <c r="CA25" s="195"/>
      <c r="CB25" s="195"/>
      <c r="CC25" s="195"/>
      <c r="CD25" s="195"/>
      <c r="CE25" s="195"/>
      <c r="CF25" s="195"/>
      <c r="CG25" s="195"/>
      <c r="CH25" s="195"/>
      <c r="CI25" s="195"/>
      <c r="CJ25" s="195"/>
      <c r="CK25" s="195"/>
      <c r="CL25" s="195"/>
      <c r="CM25" s="195"/>
      <c r="CN25" s="195"/>
      <c r="CO25" s="195"/>
      <c r="CP25" s="195"/>
      <c r="CQ25" s="195"/>
      <c r="CR25" s="195"/>
      <c r="CS25" s="195"/>
      <c r="CT25" s="195"/>
      <c r="CU25" s="195"/>
      <c r="CV25" s="195"/>
      <c r="CW25" s="195"/>
      <c r="CX25" s="195"/>
      <c r="CY25" s="195"/>
      <c r="CZ25" s="195"/>
      <c r="DA25" s="195"/>
      <c r="DB25" s="195"/>
      <c r="DC25" s="195"/>
      <c r="DD25" s="195"/>
      <c r="DE25" s="195"/>
      <c r="DF25" s="195"/>
      <c r="DG25" s="195"/>
      <c r="DH25" s="195"/>
      <c r="DI25" s="195"/>
      <c r="DJ25" s="195"/>
      <c r="DK25" s="195"/>
      <c r="DL25" s="195"/>
      <c r="DM25" s="195"/>
      <c r="DN25" s="195"/>
      <c r="DO25" s="195"/>
      <c r="DP25" s="195"/>
      <c r="DQ25" s="195"/>
      <c r="DR25" s="195"/>
      <c r="DS25" s="195"/>
      <c r="DT25" s="195"/>
      <c r="DU25" s="195"/>
      <c r="DV25" s="195"/>
      <c r="DW25" s="195"/>
      <c r="DX25" s="195"/>
      <c r="EB25" s="335"/>
      <c r="EC25">
        <v>24</v>
      </c>
      <c r="ED25" t="s">
        <v>311</v>
      </c>
      <c r="EE25" t="b" cm="1">
        <f t="array" ref="EE25">IF(SUMPRODUCT(--($EC25=$X$2:$DX$2),--($X$9:$DX$9))&gt;=1,TRUE,FALSE)</f>
        <v>0</v>
      </c>
      <c r="EF25" s="29" t="str">
        <f>'CycleRAP Model'!K26</f>
        <v>Flow direction</v>
      </c>
      <c r="EG25">
        <f>'CycleRAP Model'!O26</f>
        <v>2</v>
      </c>
      <c r="EH25" s="335"/>
      <c r="EI25">
        <v>24</v>
      </c>
      <c r="EJ25" t="s">
        <v>311</v>
      </c>
      <c r="EK25" t="b">
        <f t="shared" si="5"/>
        <v>0</v>
      </c>
      <c r="EL25" t="str">
        <f t="shared" ca="1" si="47"/>
        <v>Gabriel G</v>
      </c>
      <c r="EM25">
        <f t="shared" ca="1" si="47"/>
        <v>45076</v>
      </c>
      <c r="EN25">
        <f t="shared" ca="1" si="47"/>
        <v>45076</v>
      </c>
      <c r="EO25" t="str">
        <f t="shared" ca="1" si="47"/>
        <v>F004560</v>
      </c>
      <c r="EP25" t="str">
        <f t="shared" ca="1" si="47"/>
        <v>Carrera 30</v>
      </c>
      <c r="EQ25">
        <f t="shared" ca="1" si="47"/>
        <v>4560</v>
      </c>
      <c r="ER25">
        <f t="shared" ca="1" si="47"/>
        <v>0.01</v>
      </c>
      <c r="ES25">
        <f t="shared" ca="1" si="47"/>
        <v>4.6501536000000003</v>
      </c>
      <c r="ET25">
        <f t="shared" ca="1" si="47"/>
        <v>-74.078029700000002</v>
      </c>
      <c r="EU25">
        <f t="shared" ca="1" si="47"/>
        <v>4.6502423000000004</v>
      </c>
      <c r="EV25">
        <f t="shared" ca="1" si="47"/>
        <v>-74.078021500000006</v>
      </c>
      <c r="EW25" t="e">
        <f t="shared" ca="1" si="47"/>
        <v>#REF!</v>
      </c>
      <c r="EX25">
        <f t="shared" ca="1" si="48"/>
        <v>2</v>
      </c>
      <c r="EY25">
        <f t="shared" ca="1" si="48"/>
        <v>3</v>
      </c>
      <c r="EZ25">
        <f t="shared" ca="1" si="48"/>
        <v>1</v>
      </c>
      <c r="FA25">
        <f t="shared" ca="1" si="48"/>
        <v>2</v>
      </c>
      <c r="FB25">
        <f t="shared" ca="1" si="48"/>
        <v>2</v>
      </c>
      <c r="FC25">
        <f t="shared" ca="1" si="48"/>
        <v>2</v>
      </c>
      <c r="FD25">
        <f t="shared" ca="1" si="48"/>
        <v>2</v>
      </c>
      <c r="FE25">
        <f t="shared" ca="1" si="48"/>
        <v>2</v>
      </c>
      <c r="FF25">
        <f t="shared" ca="1" si="48"/>
        <v>2</v>
      </c>
      <c r="FG25">
        <f t="shared" ca="1" si="48"/>
        <v>1</v>
      </c>
      <c r="FH25">
        <f t="shared" ca="1" si="49"/>
        <v>1</v>
      </c>
      <c r="FI25">
        <f t="shared" ca="1" si="49"/>
        <v>2</v>
      </c>
      <c r="FJ25">
        <f t="shared" ca="1" si="49"/>
        <v>2</v>
      </c>
      <c r="FK25">
        <f t="shared" ca="1" si="49"/>
        <v>2</v>
      </c>
      <c r="FL25">
        <f t="shared" ca="1" si="49"/>
        <v>2</v>
      </c>
      <c r="FM25">
        <f t="shared" ca="1" si="49"/>
        <v>2</v>
      </c>
      <c r="FN25">
        <f t="shared" ca="1" si="49"/>
        <v>1</v>
      </c>
      <c r="FO25">
        <f t="shared" ca="1" si="49"/>
        <v>1</v>
      </c>
      <c r="FP25">
        <f t="shared" ca="1" si="49"/>
        <v>2</v>
      </c>
      <c r="FQ25">
        <f t="shared" ca="1" si="49"/>
        <v>2</v>
      </c>
      <c r="FR25">
        <f t="shared" ca="1" si="50"/>
        <v>2</v>
      </c>
      <c r="FS25">
        <f t="shared" ca="1" si="50"/>
        <v>2</v>
      </c>
      <c r="FT25">
        <f t="shared" ca="1" si="50"/>
        <v>2</v>
      </c>
      <c r="FU25">
        <f t="shared" ca="1" si="50"/>
        <v>1</v>
      </c>
      <c r="FV25">
        <f t="shared" ca="1" si="50"/>
        <v>2</v>
      </c>
      <c r="FW25">
        <f t="shared" ca="1" si="50"/>
        <v>1</v>
      </c>
      <c r="FX25">
        <f t="shared" ca="1" si="50"/>
        <v>2</v>
      </c>
      <c r="FY25">
        <f t="shared" ca="1" si="50"/>
        <v>2</v>
      </c>
      <c r="FZ25">
        <f t="shared" ca="1" si="50"/>
        <v>2</v>
      </c>
      <c r="GA25">
        <f t="shared" ca="1" si="50"/>
        <v>2</v>
      </c>
      <c r="GB25">
        <f t="shared" ca="1" si="51"/>
        <v>2</v>
      </c>
      <c r="GC25">
        <f t="shared" ca="1" si="51"/>
        <v>2</v>
      </c>
      <c r="GD25">
        <f t="shared" ca="1" si="51"/>
        <v>1</v>
      </c>
      <c r="GE25">
        <f t="shared" ca="1" si="51"/>
        <v>2</v>
      </c>
      <c r="GF25">
        <f t="shared" ca="1" si="51"/>
        <v>3</v>
      </c>
      <c r="GG25">
        <f t="shared" ca="1" si="51"/>
        <v>2</v>
      </c>
      <c r="GH25">
        <f t="shared" ca="1" si="51"/>
        <v>2</v>
      </c>
      <c r="GI25">
        <f t="shared" ca="1" si="51"/>
        <v>1</v>
      </c>
      <c r="GJ25">
        <f t="shared" ca="1" si="51"/>
        <v>1</v>
      </c>
      <c r="GK25">
        <f t="shared" ca="1" si="51"/>
        <v>39500</v>
      </c>
      <c r="GL25">
        <f t="shared" ca="1" si="51"/>
        <v>2</v>
      </c>
      <c r="GM25">
        <f t="shared" ca="1" si="51"/>
        <v>50</v>
      </c>
      <c r="GN25">
        <f t="shared" ca="1" si="51"/>
        <v>42.47</v>
      </c>
      <c r="GO25">
        <f t="shared" ca="1" si="51"/>
        <v>0</v>
      </c>
      <c r="GP25" s="335"/>
    </row>
    <row r="26" spans="1:198" ht="22.8" x14ac:dyDescent="0.25">
      <c r="A26" s="334"/>
      <c r="B26">
        <v>25</v>
      </c>
      <c r="C26" t="s">
        <v>312</v>
      </c>
      <c r="D26">
        <v>55</v>
      </c>
      <c r="E26" s="142" t="s">
        <v>67</v>
      </c>
      <c r="F26">
        <v>30</v>
      </c>
      <c r="G26" s="143">
        <v>30</v>
      </c>
      <c r="R26" s="335"/>
      <c r="S26" s="4" t="s">
        <v>15</v>
      </c>
      <c r="T26" s="4" t="s">
        <v>153</v>
      </c>
      <c r="U26" s="157">
        <v>1</v>
      </c>
      <c r="V26" s="157">
        <f>'CycleRAP Model'!O16</f>
        <v>3</v>
      </c>
      <c r="W26" s="162" t="b">
        <f t="shared" si="52"/>
        <v>0</v>
      </c>
      <c r="X26" s="170"/>
      <c r="Y26" s="171"/>
      <c r="Z26" s="172" t="b">
        <v>1</v>
      </c>
      <c r="AA26" s="186" t="b">
        <v>1</v>
      </c>
      <c r="AB26" s="170"/>
      <c r="AC26" s="171"/>
      <c r="AD26" s="172" t="b">
        <v>1</v>
      </c>
      <c r="AE26" s="186" t="b">
        <v>1</v>
      </c>
      <c r="AF26" s="208"/>
      <c r="AG26" s="197"/>
      <c r="AH26" s="197"/>
      <c r="AI26" s="208"/>
      <c r="AJ26" s="197"/>
      <c r="AK26" s="197"/>
      <c r="AL26" s="197"/>
      <c r="AM26" s="202" t="b">
        <v>1</v>
      </c>
      <c r="AN26" s="202" t="b">
        <v>1</v>
      </c>
      <c r="AO26" s="202" t="b">
        <v>1</v>
      </c>
      <c r="AP26" s="197"/>
      <c r="AQ26" s="202" t="b">
        <v>1</v>
      </c>
      <c r="AR26" s="202" t="b">
        <v>1</v>
      </c>
      <c r="AS26" s="197"/>
      <c r="AT26" s="202" t="b">
        <v>1</v>
      </c>
      <c r="AU26" s="202" t="b">
        <v>1</v>
      </c>
      <c r="AV26" s="208"/>
      <c r="AW26" s="197"/>
      <c r="AX26" s="197"/>
      <c r="AY26" s="197"/>
      <c r="AZ26" s="197"/>
      <c r="BA26" s="197"/>
      <c r="BB26" s="197"/>
      <c r="BC26" s="197"/>
      <c r="BD26" s="197"/>
      <c r="BE26" s="197"/>
      <c r="BF26" s="197"/>
      <c r="BG26" s="197"/>
      <c r="BH26" s="197"/>
      <c r="BI26" s="197"/>
      <c r="BJ26" s="197"/>
      <c r="BK26" s="197"/>
      <c r="BL26" s="197"/>
      <c r="BM26" s="197"/>
      <c r="BN26" s="197"/>
      <c r="BO26" s="197"/>
      <c r="BP26" s="197"/>
      <c r="BQ26" s="197"/>
      <c r="BR26" s="197"/>
      <c r="BS26" s="197"/>
      <c r="BT26" s="197"/>
      <c r="BU26" s="197"/>
      <c r="BV26" s="197"/>
      <c r="BW26" s="197"/>
      <c r="BX26" s="197"/>
      <c r="BY26" s="197"/>
      <c r="BZ26" s="197"/>
      <c r="CA26" s="197"/>
      <c r="CB26" s="197"/>
      <c r="CC26" s="197"/>
      <c r="CD26" s="202" t="b">
        <v>1</v>
      </c>
      <c r="CE26" s="202" t="b">
        <v>1</v>
      </c>
      <c r="CF26" s="202" t="b">
        <v>1</v>
      </c>
      <c r="CG26" s="202" t="b">
        <v>1</v>
      </c>
      <c r="CH26" s="202" t="b">
        <v>1</v>
      </c>
      <c r="CI26" s="202" t="b">
        <v>1</v>
      </c>
      <c r="CJ26" s="202" t="b">
        <v>1</v>
      </c>
      <c r="CK26" s="197"/>
      <c r="CL26" s="197"/>
      <c r="CM26" s="197"/>
      <c r="CN26" s="197"/>
      <c r="CO26" s="197"/>
      <c r="CP26" s="229" t="b">
        <v>1</v>
      </c>
      <c r="CQ26" s="229" t="b">
        <v>1</v>
      </c>
      <c r="CR26" s="229" t="b">
        <v>1</v>
      </c>
      <c r="CS26" s="197"/>
      <c r="CT26" s="197"/>
      <c r="CU26" s="197"/>
      <c r="CV26" s="197"/>
      <c r="CW26" s="197"/>
      <c r="CX26" s="197"/>
      <c r="CY26" s="197"/>
      <c r="CZ26" s="197"/>
      <c r="DA26" s="197"/>
      <c r="DB26" s="197"/>
      <c r="DC26" s="197"/>
      <c r="DD26" s="197"/>
      <c r="DE26" s="197"/>
      <c r="DF26" s="197"/>
      <c r="DG26" s="197"/>
      <c r="DH26" s="197"/>
      <c r="DI26" s="197"/>
      <c r="DJ26" s="197"/>
      <c r="DK26" s="197"/>
      <c r="DL26" s="197"/>
      <c r="DM26" s="197"/>
      <c r="DN26" s="197"/>
      <c r="DO26" s="197"/>
      <c r="DP26" s="197"/>
      <c r="DQ26" s="197"/>
      <c r="DR26" s="197"/>
      <c r="DS26" s="197"/>
      <c r="DT26" s="197"/>
      <c r="DU26" s="197"/>
      <c r="DV26" s="197"/>
      <c r="DW26" s="197"/>
      <c r="DX26" s="197"/>
      <c r="EB26" s="335"/>
      <c r="EC26">
        <v>25</v>
      </c>
      <c r="ED26" t="s">
        <v>312</v>
      </c>
      <c r="EE26" t="b" cm="1">
        <f t="array" ref="EE26">IF(SUMPRODUCT(--($EC26=$X$2:$DX$2),--($X$9:$DX$9))&gt;=1,TRUE,FALSE)</f>
        <v>0</v>
      </c>
      <c r="EF26" s="29" t="str">
        <f>'CycleRAP Model'!K27</f>
        <v>Width restriction</v>
      </c>
      <c r="EG26">
        <f>'CycleRAP Model'!O27</f>
        <v>2</v>
      </c>
      <c r="EH26" s="335"/>
      <c r="EI26">
        <v>25</v>
      </c>
      <c r="EJ26" t="s">
        <v>312</v>
      </c>
      <c r="EK26" t="b">
        <f t="shared" si="5"/>
        <v>0</v>
      </c>
      <c r="EL26" t="str">
        <f t="shared" ca="1" si="47"/>
        <v>Gabriel G</v>
      </c>
      <c r="EM26">
        <f t="shared" ca="1" si="47"/>
        <v>45076</v>
      </c>
      <c r="EN26">
        <f t="shared" ca="1" si="47"/>
        <v>45076</v>
      </c>
      <c r="EO26" t="str">
        <f t="shared" ca="1" si="47"/>
        <v>F004560</v>
      </c>
      <c r="EP26" t="str">
        <f t="shared" ca="1" si="47"/>
        <v>Carrera 30</v>
      </c>
      <c r="EQ26">
        <f t="shared" ca="1" si="47"/>
        <v>4560</v>
      </c>
      <c r="ER26">
        <f t="shared" ca="1" si="47"/>
        <v>0.01</v>
      </c>
      <c r="ES26">
        <f t="shared" ca="1" si="47"/>
        <v>4.6501536000000003</v>
      </c>
      <c r="ET26">
        <f t="shared" ca="1" si="47"/>
        <v>-74.078029700000002</v>
      </c>
      <c r="EU26">
        <f t="shared" ca="1" si="47"/>
        <v>4.6502423000000004</v>
      </c>
      <c r="EV26">
        <f t="shared" ca="1" si="47"/>
        <v>-74.078021500000006</v>
      </c>
      <c r="EW26" t="e">
        <f t="shared" ca="1" si="47"/>
        <v>#REF!</v>
      </c>
      <c r="EX26">
        <f t="shared" ca="1" si="48"/>
        <v>2</v>
      </c>
      <c r="EY26">
        <f t="shared" ca="1" si="48"/>
        <v>3</v>
      </c>
      <c r="EZ26">
        <f t="shared" ca="1" si="48"/>
        <v>1</v>
      </c>
      <c r="FA26">
        <f t="shared" ca="1" si="48"/>
        <v>2</v>
      </c>
      <c r="FB26">
        <f t="shared" ca="1" si="48"/>
        <v>2</v>
      </c>
      <c r="FC26">
        <f t="shared" ca="1" si="48"/>
        <v>2</v>
      </c>
      <c r="FD26">
        <f t="shared" ca="1" si="48"/>
        <v>2</v>
      </c>
      <c r="FE26">
        <f t="shared" ca="1" si="48"/>
        <v>2</v>
      </c>
      <c r="FF26">
        <f t="shared" ca="1" si="48"/>
        <v>2</v>
      </c>
      <c r="FG26">
        <f t="shared" ca="1" si="48"/>
        <v>1</v>
      </c>
      <c r="FH26">
        <f t="shared" ca="1" si="49"/>
        <v>1</v>
      </c>
      <c r="FI26">
        <f t="shared" ca="1" si="49"/>
        <v>2</v>
      </c>
      <c r="FJ26">
        <f t="shared" ca="1" si="49"/>
        <v>2</v>
      </c>
      <c r="FK26">
        <f t="shared" ca="1" si="49"/>
        <v>2</v>
      </c>
      <c r="FL26">
        <f t="shared" ca="1" si="49"/>
        <v>2</v>
      </c>
      <c r="FM26">
        <f t="shared" ca="1" si="49"/>
        <v>2</v>
      </c>
      <c r="FN26">
        <f t="shared" ca="1" si="49"/>
        <v>1</v>
      </c>
      <c r="FO26">
        <f t="shared" ca="1" si="49"/>
        <v>1</v>
      </c>
      <c r="FP26">
        <f t="shared" ca="1" si="49"/>
        <v>2</v>
      </c>
      <c r="FQ26">
        <f t="shared" ca="1" si="49"/>
        <v>2</v>
      </c>
      <c r="FR26">
        <f t="shared" ca="1" si="50"/>
        <v>2</v>
      </c>
      <c r="FS26">
        <f t="shared" ca="1" si="50"/>
        <v>2</v>
      </c>
      <c r="FT26">
        <f t="shared" ca="1" si="50"/>
        <v>2</v>
      </c>
      <c r="FU26">
        <f t="shared" ca="1" si="50"/>
        <v>1</v>
      </c>
      <c r="FV26">
        <f t="shared" ca="1" si="50"/>
        <v>2</v>
      </c>
      <c r="FW26">
        <f t="shared" ca="1" si="50"/>
        <v>1</v>
      </c>
      <c r="FX26">
        <f t="shared" ca="1" si="50"/>
        <v>2</v>
      </c>
      <c r="FY26">
        <f t="shared" ca="1" si="50"/>
        <v>2</v>
      </c>
      <c r="FZ26">
        <f t="shared" ca="1" si="50"/>
        <v>2</v>
      </c>
      <c r="GA26">
        <f t="shared" ca="1" si="50"/>
        <v>2</v>
      </c>
      <c r="GB26">
        <f t="shared" ca="1" si="51"/>
        <v>2</v>
      </c>
      <c r="GC26">
        <f t="shared" ca="1" si="51"/>
        <v>2</v>
      </c>
      <c r="GD26">
        <f t="shared" ca="1" si="51"/>
        <v>1</v>
      </c>
      <c r="GE26">
        <f t="shared" ca="1" si="51"/>
        <v>2</v>
      </c>
      <c r="GF26">
        <f t="shared" ca="1" si="51"/>
        <v>3</v>
      </c>
      <c r="GG26">
        <f t="shared" ca="1" si="51"/>
        <v>2</v>
      </c>
      <c r="GH26">
        <f t="shared" ca="1" si="51"/>
        <v>2</v>
      </c>
      <c r="GI26">
        <f t="shared" ca="1" si="51"/>
        <v>1</v>
      </c>
      <c r="GJ26">
        <f t="shared" ca="1" si="51"/>
        <v>1</v>
      </c>
      <c r="GK26">
        <f t="shared" ca="1" si="51"/>
        <v>39500</v>
      </c>
      <c r="GL26">
        <f t="shared" ca="1" si="51"/>
        <v>2</v>
      </c>
      <c r="GM26">
        <f t="shared" ca="1" si="51"/>
        <v>50</v>
      </c>
      <c r="GN26">
        <f t="shared" ca="1" si="51"/>
        <v>42.47</v>
      </c>
      <c r="GO26">
        <f t="shared" ca="1" si="51"/>
        <v>0</v>
      </c>
      <c r="GP26" s="335"/>
    </row>
    <row r="27" spans="1:198" ht="22.8" x14ac:dyDescent="0.25">
      <c r="A27" s="334"/>
      <c r="B27" s="232">
        <v>26</v>
      </c>
      <c r="C27" s="232" t="s">
        <v>315</v>
      </c>
      <c r="D27" s="232">
        <v>55</v>
      </c>
      <c r="E27" s="267" t="s">
        <v>67</v>
      </c>
      <c r="F27" s="232">
        <v>20</v>
      </c>
      <c r="R27" s="335"/>
      <c r="S27" t="str">
        <f>S26</f>
        <v>Facility type</v>
      </c>
      <c r="T27" t="s">
        <v>157</v>
      </c>
      <c r="U27">
        <v>2</v>
      </c>
      <c r="V27">
        <f>'CycleRAP Model'!O16</f>
        <v>3</v>
      </c>
      <c r="W27" s="158" t="b">
        <f t="shared" si="52"/>
        <v>0</v>
      </c>
      <c r="X27" s="163"/>
      <c r="Y27" s="163"/>
      <c r="Z27" s="167" t="b">
        <v>1</v>
      </c>
      <c r="AA27" s="187" t="b">
        <v>1</v>
      </c>
      <c r="AB27" s="163"/>
      <c r="AC27" s="163"/>
      <c r="AD27" s="167" t="b">
        <v>1</v>
      </c>
      <c r="AE27" s="187" t="b">
        <v>1</v>
      </c>
      <c r="AF27" s="206"/>
      <c r="AG27" s="195"/>
      <c r="AH27" s="195"/>
      <c r="AI27" s="206"/>
      <c r="AJ27" s="195"/>
      <c r="AK27" s="195"/>
      <c r="AL27" s="195"/>
      <c r="AM27" s="201" t="b">
        <v>1</v>
      </c>
      <c r="AN27" s="201" t="b">
        <v>1</v>
      </c>
      <c r="AO27" s="195"/>
      <c r="AP27" s="195"/>
      <c r="AQ27" s="201" t="b">
        <v>1</v>
      </c>
      <c r="AR27" s="201" t="b">
        <v>1</v>
      </c>
      <c r="AS27" s="195"/>
      <c r="AT27" s="201" t="b">
        <v>1</v>
      </c>
      <c r="AU27" s="201" t="b">
        <v>1</v>
      </c>
      <c r="AV27" s="206"/>
      <c r="AW27" s="195"/>
      <c r="AX27" s="195"/>
      <c r="AY27" s="195"/>
      <c r="AZ27" s="195"/>
      <c r="BA27" s="195"/>
      <c r="BB27" s="195"/>
      <c r="BC27" s="195"/>
      <c r="BD27" s="195"/>
      <c r="BE27" s="195"/>
      <c r="BF27" s="195"/>
      <c r="BG27" s="195"/>
      <c r="BH27" s="195"/>
      <c r="BI27" s="195"/>
      <c r="BJ27" s="195"/>
      <c r="BK27" s="195"/>
      <c r="BL27" s="195"/>
      <c r="BM27" s="195"/>
      <c r="BN27" s="195"/>
      <c r="BO27" s="195"/>
      <c r="BP27" s="195"/>
      <c r="BQ27" s="195"/>
      <c r="BR27" s="195"/>
      <c r="BS27" s="195"/>
      <c r="BT27" s="195"/>
      <c r="BU27" s="195"/>
      <c r="BV27" s="195"/>
      <c r="BW27" s="195"/>
      <c r="BX27" s="195"/>
      <c r="BY27" s="195"/>
      <c r="BZ27" s="195"/>
      <c r="CA27" s="195"/>
      <c r="CB27" s="195"/>
      <c r="CC27" s="195"/>
      <c r="CD27" s="201" t="b">
        <v>1</v>
      </c>
      <c r="CE27" s="201" t="b">
        <v>1</v>
      </c>
      <c r="CF27" s="201" t="b">
        <v>1</v>
      </c>
      <c r="CG27" s="201" t="b">
        <v>1</v>
      </c>
      <c r="CH27" s="201" t="b">
        <v>1</v>
      </c>
      <c r="CI27" s="201" t="b">
        <v>1</v>
      </c>
      <c r="CJ27" s="201" t="b">
        <v>1</v>
      </c>
      <c r="CK27" s="195"/>
      <c r="CL27" s="195"/>
      <c r="CM27" s="195"/>
      <c r="CN27" s="195"/>
      <c r="CO27" s="195"/>
      <c r="CP27" s="229" t="b">
        <v>1</v>
      </c>
      <c r="CQ27" s="229" t="b">
        <v>1</v>
      </c>
      <c r="CR27" s="229" t="b">
        <v>1</v>
      </c>
      <c r="CS27" s="195"/>
      <c r="CT27" s="195"/>
      <c r="CU27" s="195"/>
      <c r="CV27" s="195"/>
      <c r="CW27" s="195"/>
      <c r="CX27" s="195"/>
      <c r="CY27" s="195"/>
      <c r="CZ27" s="195"/>
      <c r="DA27" s="195"/>
      <c r="DB27" s="195"/>
      <c r="DC27" s="195"/>
      <c r="DD27" s="195"/>
      <c r="DE27" s="195"/>
      <c r="DF27" s="195"/>
      <c r="DG27" s="195"/>
      <c r="DH27" s="195"/>
      <c r="DI27" s="195"/>
      <c r="DJ27" s="195"/>
      <c r="DK27" s="195"/>
      <c r="DL27" s="195"/>
      <c r="DM27" s="195"/>
      <c r="DN27" s="195"/>
      <c r="DO27" s="195"/>
      <c r="DP27" s="195"/>
      <c r="DQ27" s="195"/>
      <c r="DR27" s="195"/>
      <c r="DS27" s="195"/>
      <c r="DT27" s="195"/>
      <c r="DU27" s="195"/>
      <c r="DV27" s="195"/>
      <c r="DW27" s="195"/>
      <c r="DX27" s="195"/>
      <c r="EB27" s="335"/>
      <c r="EC27" s="232">
        <v>26</v>
      </c>
      <c r="ED27" s="232" t="s">
        <v>315</v>
      </c>
      <c r="EE27" t="b" cm="1">
        <f t="array" ref="EE27">IF(SUMPRODUCT(--($EC27=$X$2:$DX$2),--($X$9:$DX$9))&gt;=1,TRUE,FALSE)</f>
        <v>0</v>
      </c>
      <c r="EF27" s="29" t="str">
        <f>'CycleRAP Model'!K28</f>
        <v>Adjacent road lane 0-1m</v>
      </c>
      <c r="EG27">
        <f>'CycleRAP Model'!O28</f>
        <v>2</v>
      </c>
      <c r="EH27" s="335"/>
      <c r="EI27" s="232">
        <v>26</v>
      </c>
      <c r="EJ27" s="232" t="s">
        <v>315</v>
      </c>
      <c r="EK27" t="b">
        <f t="shared" si="5"/>
        <v>0</v>
      </c>
      <c r="EL27" t="str">
        <f t="shared" ca="1" si="47"/>
        <v>Gabriel G</v>
      </c>
      <c r="EM27">
        <f t="shared" ca="1" si="47"/>
        <v>45076</v>
      </c>
      <c r="EN27">
        <f t="shared" ca="1" si="47"/>
        <v>45076</v>
      </c>
      <c r="EO27" t="str">
        <f t="shared" ca="1" si="47"/>
        <v>F004560</v>
      </c>
      <c r="EP27" t="str">
        <f t="shared" ca="1" si="47"/>
        <v>Carrera 30</v>
      </c>
      <c r="EQ27">
        <f t="shared" ca="1" si="47"/>
        <v>4560</v>
      </c>
      <c r="ER27">
        <f t="shared" ca="1" si="47"/>
        <v>0.01</v>
      </c>
      <c r="ES27">
        <f t="shared" ca="1" si="47"/>
        <v>4.6501536000000003</v>
      </c>
      <c r="ET27">
        <f t="shared" ca="1" si="47"/>
        <v>-74.078029700000002</v>
      </c>
      <c r="EU27">
        <f t="shared" ca="1" si="47"/>
        <v>4.6502423000000004</v>
      </c>
      <c r="EV27">
        <f t="shared" ca="1" si="47"/>
        <v>-74.078021500000006</v>
      </c>
      <c r="EW27" t="e">
        <f t="shared" ca="1" si="47"/>
        <v>#REF!</v>
      </c>
      <c r="EX27">
        <f t="shared" ca="1" si="48"/>
        <v>2</v>
      </c>
      <c r="EY27">
        <f t="shared" ca="1" si="48"/>
        <v>3</v>
      </c>
      <c r="EZ27">
        <f t="shared" ca="1" si="48"/>
        <v>1</v>
      </c>
      <c r="FA27">
        <f t="shared" ca="1" si="48"/>
        <v>2</v>
      </c>
      <c r="FB27">
        <f t="shared" ca="1" si="48"/>
        <v>2</v>
      </c>
      <c r="FC27">
        <f t="shared" ca="1" si="48"/>
        <v>2</v>
      </c>
      <c r="FD27">
        <f t="shared" ca="1" si="48"/>
        <v>2</v>
      </c>
      <c r="FE27">
        <f t="shared" ca="1" si="48"/>
        <v>2</v>
      </c>
      <c r="FF27">
        <f t="shared" ca="1" si="48"/>
        <v>2</v>
      </c>
      <c r="FG27">
        <f t="shared" ca="1" si="48"/>
        <v>1</v>
      </c>
      <c r="FH27">
        <f t="shared" ca="1" si="49"/>
        <v>1</v>
      </c>
      <c r="FI27">
        <f t="shared" ca="1" si="49"/>
        <v>2</v>
      </c>
      <c r="FJ27">
        <f t="shared" ca="1" si="49"/>
        <v>2</v>
      </c>
      <c r="FK27">
        <f t="shared" ca="1" si="49"/>
        <v>2</v>
      </c>
      <c r="FL27">
        <f t="shared" ca="1" si="49"/>
        <v>2</v>
      </c>
      <c r="FM27">
        <f t="shared" ca="1" si="49"/>
        <v>2</v>
      </c>
      <c r="FN27">
        <f t="shared" ca="1" si="49"/>
        <v>1</v>
      </c>
      <c r="FO27">
        <f t="shared" ca="1" si="49"/>
        <v>1</v>
      </c>
      <c r="FP27">
        <f t="shared" ca="1" si="49"/>
        <v>2</v>
      </c>
      <c r="FQ27">
        <f t="shared" ca="1" si="49"/>
        <v>2</v>
      </c>
      <c r="FR27">
        <f t="shared" ca="1" si="50"/>
        <v>2</v>
      </c>
      <c r="FS27">
        <f t="shared" ca="1" si="50"/>
        <v>2</v>
      </c>
      <c r="FT27">
        <f t="shared" ca="1" si="50"/>
        <v>2</v>
      </c>
      <c r="FU27">
        <f t="shared" ca="1" si="50"/>
        <v>1</v>
      </c>
      <c r="FV27">
        <f t="shared" ca="1" si="50"/>
        <v>2</v>
      </c>
      <c r="FW27">
        <f t="shared" ca="1" si="50"/>
        <v>1</v>
      </c>
      <c r="FX27">
        <f t="shared" ca="1" si="50"/>
        <v>2</v>
      </c>
      <c r="FY27">
        <f t="shared" ca="1" si="50"/>
        <v>2</v>
      </c>
      <c r="FZ27">
        <f t="shared" ca="1" si="50"/>
        <v>2</v>
      </c>
      <c r="GA27">
        <f t="shared" ca="1" si="50"/>
        <v>2</v>
      </c>
      <c r="GB27">
        <f t="shared" ca="1" si="51"/>
        <v>2</v>
      </c>
      <c r="GC27">
        <f t="shared" ca="1" si="51"/>
        <v>2</v>
      </c>
      <c r="GD27">
        <f t="shared" ca="1" si="51"/>
        <v>1</v>
      </c>
      <c r="GE27">
        <f t="shared" ca="1" si="51"/>
        <v>2</v>
      </c>
      <c r="GF27">
        <f t="shared" ca="1" si="51"/>
        <v>3</v>
      </c>
      <c r="GG27">
        <f t="shared" ca="1" si="51"/>
        <v>2</v>
      </c>
      <c r="GH27">
        <f t="shared" ca="1" si="51"/>
        <v>2</v>
      </c>
      <c r="GI27">
        <f t="shared" ca="1" si="51"/>
        <v>1</v>
      </c>
      <c r="GJ27">
        <f t="shared" ca="1" si="51"/>
        <v>1</v>
      </c>
      <c r="GK27">
        <f t="shared" ca="1" si="51"/>
        <v>39500</v>
      </c>
      <c r="GL27">
        <f t="shared" ca="1" si="51"/>
        <v>2</v>
      </c>
      <c r="GM27">
        <f t="shared" ca="1" si="51"/>
        <v>50</v>
      </c>
      <c r="GN27">
        <f t="shared" ca="1" si="51"/>
        <v>42.47</v>
      </c>
      <c r="GO27">
        <f t="shared" ca="1" si="51"/>
        <v>0</v>
      </c>
      <c r="GP27" s="335"/>
    </row>
    <row r="28" spans="1:198" ht="22.8" x14ac:dyDescent="0.25">
      <c r="A28" s="334"/>
      <c r="B28">
        <v>27</v>
      </c>
      <c r="C28" t="s">
        <v>313</v>
      </c>
      <c r="D28">
        <v>55</v>
      </c>
      <c r="E28" s="142" t="s">
        <v>67</v>
      </c>
      <c r="R28" s="335"/>
      <c r="S28" t="str">
        <f t="shared" ref="S28:S31" si="54">S27</f>
        <v>Facility type</v>
      </c>
      <c r="T28" t="s">
        <v>16</v>
      </c>
      <c r="U28">
        <v>3</v>
      </c>
      <c r="V28">
        <f>'CycleRAP Model'!O16</f>
        <v>3</v>
      </c>
      <c r="W28" s="158" t="b">
        <f t="shared" si="52"/>
        <v>1</v>
      </c>
      <c r="X28" s="163"/>
      <c r="Y28" s="163"/>
      <c r="Z28" s="163"/>
      <c r="AA28" s="181"/>
      <c r="AB28" s="163"/>
      <c r="AC28" s="163"/>
      <c r="AD28" s="163"/>
      <c r="AE28" s="181"/>
      <c r="AF28" s="206"/>
      <c r="AG28" s="195"/>
      <c r="AH28" s="201" t="b">
        <v>1</v>
      </c>
      <c r="AI28" s="206"/>
      <c r="AJ28" s="201" t="b">
        <v>1</v>
      </c>
      <c r="AK28" s="195"/>
      <c r="AL28" s="195"/>
      <c r="AM28" s="195"/>
      <c r="AN28" s="195"/>
      <c r="AO28" s="195"/>
      <c r="AP28" s="195"/>
      <c r="AQ28" s="195"/>
      <c r="AR28" s="195"/>
      <c r="AS28" s="195"/>
      <c r="AT28" s="195"/>
      <c r="AU28" s="195"/>
      <c r="AV28" s="206"/>
      <c r="AW28" s="195"/>
      <c r="AX28" s="195"/>
      <c r="AY28" s="195"/>
      <c r="AZ28" s="195"/>
      <c r="BA28" s="195"/>
      <c r="BB28" s="195"/>
      <c r="BC28" s="195"/>
      <c r="BD28" s="195"/>
      <c r="BE28" s="195"/>
      <c r="BF28" s="195"/>
      <c r="BG28" s="195"/>
      <c r="BH28" s="195"/>
      <c r="BI28" s="195"/>
      <c r="BJ28" s="195"/>
      <c r="BK28" s="195"/>
      <c r="BL28" s="195"/>
      <c r="BM28" s="195"/>
      <c r="BN28" s="195"/>
      <c r="BO28" s="195"/>
      <c r="BP28" s="195"/>
      <c r="BQ28" s="195"/>
      <c r="BR28" s="195"/>
      <c r="BS28" s="195"/>
      <c r="BT28" s="195"/>
      <c r="BU28" s="195"/>
      <c r="BV28" s="195"/>
      <c r="BW28" s="195"/>
      <c r="BX28" s="195"/>
      <c r="BY28" s="195"/>
      <c r="BZ28" s="195"/>
      <c r="CA28" s="195"/>
      <c r="CB28" s="195"/>
      <c r="CC28" s="195"/>
      <c r="CD28" s="201" t="b">
        <v>1</v>
      </c>
      <c r="CE28" s="201" t="b">
        <v>1</v>
      </c>
      <c r="CF28" s="201" t="b">
        <v>1</v>
      </c>
      <c r="CG28" s="195"/>
      <c r="CH28" s="201" t="b">
        <v>1</v>
      </c>
      <c r="CI28" s="201" t="b">
        <v>1</v>
      </c>
      <c r="CJ28" s="201" t="b">
        <v>1</v>
      </c>
      <c r="CK28" s="195"/>
      <c r="CL28" s="195"/>
      <c r="CM28" s="195"/>
      <c r="CN28" s="195"/>
      <c r="CO28" s="195"/>
      <c r="CP28" s="229" t="b">
        <v>1</v>
      </c>
      <c r="CQ28" s="229" t="b">
        <v>1</v>
      </c>
      <c r="CR28" s="229" t="b">
        <v>1</v>
      </c>
      <c r="CS28" s="195"/>
      <c r="CT28" s="195"/>
      <c r="CU28" s="195"/>
      <c r="CV28" s="195"/>
      <c r="CW28" s="195"/>
      <c r="CX28" s="195"/>
      <c r="CY28" s="195"/>
      <c r="CZ28" s="195"/>
      <c r="DA28" s="195"/>
      <c r="DB28" s="195"/>
      <c r="DC28" s="195"/>
      <c r="DD28" s="195"/>
      <c r="DE28" s="195"/>
      <c r="DF28" s="195"/>
      <c r="DG28" s="195"/>
      <c r="DH28" s="195"/>
      <c r="DI28" s="195"/>
      <c r="DJ28" s="195"/>
      <c r="DK28" s="195"/>
      <c r="DL28" s="195"/>
      <c r="DM28" s="195"/>
      <c r="DN28" s="195"/>
      <c r="DO28" s="195"/>
      <c r="DP28" s="195"/>
      <c r="DQ28" s="195"/>
      <c r="DR28" s="195"/>
      <c r="DS28" s="195"/>
      <c r="DT28" s="195"/>
      <c r="DU28" s="195"/>
      <c r="DV28" s="195"/>
      <c r="DW28" s="195"/>
      <c r="DX28" s="195"/>
      <c r="EB28" s="335"/>
      <c r="EC28">
        <v>27</v>
      </c>
      <c r="ED28" t="s">
        <v>313</v>
      </c>
      <c r="EE28" t="b" cm="1">
        <f t="array" ref="EE28">IF(SUMPRODUCT(--($EC28=$X$2:$DX$2),--($X$9:$DX$9))&gt;=1,TRUE,FALSE)</f>
        <v>0</v>
      </c>
      <c r="EF28" s="29" t="str">
        <f>'CycleRAP Model'!K29</f>
        <v>Adjacent vehicle parking 0-1m</v>
      </c>
      <c r="EG28">
        <f>'CycleRAP Model'!O29</f>
        <v>2</v>
      </c>
      <c r="EH28" s="335"/>
      <c r="EI28">
        <v>27</v>
      </c>
      <c r="EJ28" t="s">
        <v>313</v>
      </c>
      <c r="EK28" t="b">
        <f t="shared" ref="EK28:EK29" si="55">EE28</f>
        <v>0</v>
      </c>
      <c r="EL28" t="str">
        <f t="shared" ca="1" si="47"/>
        <v>Gabriel G</v>
      </c>
      <c r="EM28">
        <f t="shared" ca="1" si="47"/>
        <v>45076</v>
      </c>
      <c r="EN28">
        <f t="shared" ca="1" si="47"/>
        <v>45076</v>
      </c>
      <c r="EO28" t="str">
        <f t="shared" ca="1" si="47"/>
        <v>F004560</v>
      </c>
      <c r="EP28" t="str">
        <f t="shared" ca="1" si="47"/>
        <v>Carrera 30</v>
      </c>
      <c r="EQ28">
        <f t="shared" ca="1" si="47"/>
        <v>4560</v>
      </c>
      <c r="ER28">
        <f t="shared" ca="1" si="47"/>
        <v>0.01</v>
      </c>
      <c r="ES28">
        <f t="shared" ca="1" si="47"/>
        <v>4.6501536000000003</v>
      </c>
      <c r="ET28">
        <f t="shared" ca="1" si="47"/>
        <v>-74.078029700000002</v>
      </c>
      <c r="EU28">
        <f t="shared" ca="1" si="47"/>
        <v>4.6502423000000004</v>
      </c>
      <c r="EV28">
        <f t="shared" ca="1" si="47"/>
        <v>-74.078021500000006</v>
      </c>
      <c r="EW28" t="e">
        <f t="shared" ca="1" si="47"/>
        <v>#REF!</v>
      </c>
      <c r="EX28">
        <f t="shared" ca="1" si="48"/>
        <v>2</v>
      </c>
      <c r="EY28">
        <f t="shared" ca="1" si="48"/>
        <v>3</v>
      </c>
      <c r="EZ28">
        <f t="shared" ca="1" si="48"/>
        <v>1</v>
      </c>
      <c r="FA28">
        <f t="shared" ca="1" si="48"/>
        <v>2</v>
      </c>
      <c r="FB28">
        <f t="shared" ca="1" si="48"/>
        <v>2</v>
      </c>
      <c r="FC28">
        <f t="shared" ca="1" si="48"/>
        <v>2</v>
      </c>
      <c r="FD28">
        <f t="shared" ca="1" si="48"/>
        <v>2</v>
      </c>
      <c r="FE28">
        <f t="shared" ca="1" si="48"/>
        <v>2</v>
      </c>
      <c r="FF28">
        <f t="shared" ca="1" si="48"/>
        <v>2</v>
      </c>
      <c r="FG28">
        <f t="shared" ca="1" si="48"/>
        <v>1</v>
      </c>
      <c r="FH28">
        <f t="shared" ca="1" si="49"/>
        <v>1</v>
      </c>
      <c r="FI28">
        <f t="shared" ca="1" si="49"/>
        <v>2</v>
      </c>
      <c r="FJ28">
        <f t="shared" ca="1" si="49"/>
        <v>2</v>
      </c>
      <c r="FK28">
        <f t="shared" ca="1" si="49"/>
        <v>2</v>
      </c>
      <c r="FL28">
        <f t="shared" ca="1" si="49"/>
        <v>2</v>
      </c>
      <c r="FM28">
        <f t="shared" ca="1" si="49"/>
        <v>2</v>
      </c>
      <c r="FN28">
        <f t="shared" ca="1" si="49"/>
        <v>1</v>
      </c>
      <c r="FO28">
        <f t="shared" ca="1" si="49"/>
        <v>1</v>
      </c>
      <c r="FP28">
        <f t="shared" ca="1" si="49"/>
        <v>2</v>
      </c>
      <c r="FQ28">
        <f t="shared" ca="1" si="49"/>
        <v>2</v>
      </c>
      <c r="FR28">
        <f t="shared" ca="1" si="50"/>
        <v>2</v>
      </c>
      <c r="FS28">
        <f t="shared" ca="1" si="50"/>
        <v>2</v>
      </c>
      <c r="FT28">
        <f t="shared" ca="1" si="50"/>
        <v>2</v>
      </c>
      <c r="FU28">
        <f t="shared" ca="1" si="50"/>
        <v>1</v>
      </c>
      <c r="FV28">
        <f t="shared" ca="1" si="50"/>
        <v>2</v>
      </c>
      <c r="FW28">
        <f t="shared" ca="1" si="50"/>
        <v>1</v>
      </c>
      <c r="FX28">
        <f t="shared" ca="1" si="50"/>
        <v>2</v>
      </c>
      <c r="FY28">
        <f t="shared" ca="1" si="50"/>
        <v>2</v>
      </c>
      <c r="FZ28">
        <f t="shared" ca="1" si="50"/>
        <v>2</v>
      </c>
      <c r="GA28">
        <f t="shared" ca="1" si="50"/>
        <v>2</v>
      </c>
      <c r="GB28">
        <f t="shared" ca="1" si="51"/>
        <v>2</v>
      </c>
      <c r="GC28">
        <f t="shared" ca="1" si="51"/>
        <v>2</v>
      </c>
      <c r="GD28">
        <f t="shared" ca="1" si="51"/>
        <v>1</v>
      </c>
      <c r="GE28">
        <f t="shared" ca="1" si="51"/>
        <v>2</v>
      </c>
      <c r="GF28">
        <f t="shared" ca="1" si="51"/>
        <v>3</v>
      </c>
      <c r="GG28">
        <f t="shared" ca="1" si="51"/>
        <v>2</v>
      </c>
      <c r="GH28">
        <f t="shared" ca="1" si="51"/>
        <v>2</v>
      </c>
      <c r="GI28">
        <f t="shared" ca="1" si="51"/>
        <v>1</v>
      </c>
      <c r="GJ28">
        <f t="shared" ca="1" si="51"/>
        <v>1</v>
      </c>
      <c r="GK28">
        <f t="shared" ca="1" si="51"/>
        <v>39500</v>
      </c>
      <c r="GL28">
        <f t="shared" ca="1" si="51"/>
        <v>2</v>
      </c>
      <c r="GM28">
        <f t="shared" ca="1" si="51"/>
        <v>50</v>
      </c>
      <c r="GN28">
        <f t="shared" ca="1" si="51"/>
        <v>42.47</v>
      </c>
      <c r="GO28">
        <f t="shared" ca="1" si="51"/>
        <v>0</v>
      </c>
      <c r="GP28" s="335"/>
    </row>
    <row r="29" spans="1:198" ht="22.8" x14ac:dyDescent="0.25">
      <c r="A29" s="334"/>
      <c r="B29">
        <v>28</v>
      </c>
      <c r="C29" t="s">
        <v>314</v>
      </c>
      <c r="D29">
        <v>50</v>
      </c>
      <c r="E29" s="142" t="s">
        <v>52</v>
      </c>
      <c r="F29">
        <f>'Upload spec'!G97</f>
        <v>1</v>
      </c>
      <c r="G29" s="143" t="s">
        <v>232</v>
      </c>
      <c r="R29" s="335"/>
      <c r="S29" t="str">
        <f t="shared" si="54"/>
        <v>Facility type</v>
      </c>
      <c r="T29" t="s">
        <v>160</v>
      </c>
      <c r="U29">
        <v>4</v>
      </c>
      <c r="V29">
        <f>'CycleRAP Model'!O$16</f>
        <v>3</v>
      </c>
      <c r="W29" s="158" t="b">
        <f t="shared" si="52"/>
        <v>0</v>
      </c>
      <c r="X29" s="163"/>
      <c r="Y29" s="163"/>
      <c r="Z29" s="163"/>
      <c r="AA29" s="181"/>
      <c r="AB29" s="163"/>
      <c r="AC29" s="163"/>
      <c r="AD29" s="163"/>
      <c r="AE29" s="181"/>
      <c r="AF29" s="212" t="b">
        <v>1</v>
      </c>
      <c r="AG29" s="201" t="b">
        <v>1</v>
      </c>
      <c r="AH29" s="201" t="b">
        <v>1</v>
      </c>
      <c r="AI29" s="212" t="b">
        <v>1</v>
      </c>
      <c r="AJ29" s="201" t="b">
        <v>1</v>
      </c>
      <c r="AK29" s="201" t="b">
        <v>1</v>
      </c>
      <c r="AL29" s="201" t="b">
        <v>1</v>
      </c>
      <c r="AM29" s="195"/>
      <c r="AN29" s="195"/>
      <c r="AO29" s="195"/>
      <c r="AP29" s="201" t="b">
        <v>1</v>
      </c>
      <c r="AQ29" s="195"/>
      <c r="AR29" s="195"/>
      <c r="AS29" s="201" t="b">
        <v>1</v>
      </c>
      <c r="AT29" s="195"/>
      <c r="AU29" s="195"/>
      <c r="AV29" s="212" t="b">
        <v>1</v>
      </c>
      <c r="AW29" s="201" t="b">
        <v>1</v>
      </c>
      <c r="AX29" s="201" t="b">
        <v>1</v>
      </c>
      <c r="AY29" s="201" t="b">
        <v>1</v>
      </c>
      <c r="AZ29" s="201" t="b">
        <v>1</v>
      </c>
      <c r="BA29" s="201" t="b">
        <v>1</v>
      </c>
      <c r="BB29" s="201" t="b">
        <v>1</v>
      </c>
      <c r="BC29" s="195"/>
      <c r="BD29" s="201" t="b">
        <v>1</v>
      </c>
      <c r="BE29" s="195"/>
      <c r="BF29" s="195"/>
      <c r="BG29" s="201" t="b">
        <v>1</v>
      </c>
      <c r="BH29" s="195"/>
      <c r="BI29" s="195"/>
      <c r="BJ29" s="195"/>
      <c r="BK29" s="195"/>
      <c r="BL29" s="195"/>
      <c r="BM29" s="195"/>
      <c r="BN29" s="195"/>
      <c r="BO29" s="195"/>
      <c r="BP29" s="195"/>
      <c r="BQ29" s="195"/>
      <c r="BR29" s="195"/>
      <c r="BS29" s="195"/>
      <c r="BT29" s="195"/>
      <c r="BU29" s="195"/>
      <c r="BV29" s="195"/>
      <c r="BW29" s="195"/>
      <c r="BX29" s="195"/>
      <c r="BY29" s="195"/>
      <c r="BZ29" s="195"/>
      <c r="CA29" s="195"/>
      <c r="CB29" s="195"/>
      <c r="CC29" s="195"/>
      <c r="CD29" s="201" t="b">
        <v>1</v>
      </c>
      <c r="CE29" s="201" t="b">
        <v>1</v>
      </c>
      <c r="CF29" s="201" t="b">
        <v>1</v>
      </c>
      <c r="CG29" s="195"/>
      <c r="CH29" s="201" t="b">
        <v>1</v>
      </c>
      <c r="CI29" s="201" t="b">
        <v>1</v>
      </c>
      <c r="CJ29" s="201" t="b">
        <v>1</v>
      </c>
      <c r="CK29" s="195"/>
      <c r="CL29" s="195"/>
      <c r="CM29" s="195"/>
      <c r="CN29" s="195"/>
      <c r="CO29" s="201" t="b">
        <v>1</v>
      </c>
      <c r="CP29" s="229" t="b">
        <v>1</v>
      </c>
      <c r="CQ29" s="229" t="b">
        <v>1</v>
      </c>
      <c r="CR29" s="229" t="b">
        <v>1</v>
      </c>
      <c r="CS29" s="195"/>
      <c r="CT29" s="195"/>
      <c r="CU29" s="195"/>
      <c r="CV29" s="195"/>
      <c r="CW29" s="195"/>
      <c r="CX29" s="195"/>
      <c r="CY29" s="195"/>
      <c r="CZ29" s="195"/>
      <c r="DA29" s="195"/>
      <c r="DB29" s="195"/>
      <c r="DC29" s="195"/>
      <c r="DD29" s="195"/>
      <c r="DE29" s="195"/>
      <c r="DF29" s="195"/>
      <c r="DG29" s="195"/>
      <c r="DH29" s="195"/>
      <c r="DI29" s="195"/>
      <c r="DJ29" s="201" t="b">
        <v>1</v>
      </c>
      <c r="DK29" s="201" t="b">
        <v>1</v>
      </c>
      <c r="DL29" s="195"/>
      <c r="DM29" s="195"/>
      <c r="DN29" s="201" t="b">
        <v>1</v>
      </c>
      <c r="DO29" s="201" t="b">
        <v>1</v>
      </c>
      <c r="DP29" s="195"/>
      <c r="DQ29" s="195"/>
      <c r="DR29" s="195"/>
      <c r="DS29" s="195"/>
      <c r="DT29" s="195"/>
      <c r="DU29" s="195"/>
      <c r="DV29" s="195"/>
      <c r="DW29" s="195"/>
      <c r="DX29" s="195"/>
      <c r="EB29" s="335"/>
      <c r="EC29">
        <v>28</v>
      </c>
      <c r="ED29" t="s">
        <v>314</v>
      </c>
      <c r="EE29" t="b" cm="1">
        <f t="array" ref="EE29">IF(SUMPRODUCT(--($EC29=$X$2:$DX$2),--($X$9:$DX$9))&gt;=1,TRUE,FALSE)</f>
        <v>0</v>
      </c>
      <c r="EF29" s="29" t="str">
        <f>'CycleRAP Model'!K30</f>
        <v>Adjacent severe hazard 0-1m</v>
      </c>
      <c r="EG29">
        <f>'CycleRAP Model'!O30</f>
        <v>2</v>
      </c>
      <c r="EH29" s="335"/>
      <c r="EI29">
        <v>28</v>
      </c>
      <c r="EJ29" t="s">
        <v>314</v>
      </c>
      <c r="EK29" t="b">
        <f t="shared" si="55"/>
        <v>0</v>
      </c>
      <c r="EL29" t="str">
        <f t="shared" ca="1" si="47"/>
        <v>Gabriel G</v>
      </c>
      <c r="EM29">
        <f t="shared" ca="1" si="47"/>
        <v>45076</v>
      </c>
      <c r="EN29">
        <f t="shared" ca="1" si="47"/>
        <v>45076</v>
      </c>
      <c r="EO29" t="str">
        <f t="shared" ca="1" si="47"/>
        <v>F004560</v>
      </c>
      <c r="EP29" t="str">
        <f t="shared" ca="1" si="47"/>
        <v>Carrera 30</v>
      </c>
      <c r="EQ29">
        <f t="shared" ca="1" si="47"/>
        <v>4560</v>
      </c>
      <c r="ER29">
        <f t="shared" ca="1" si="47"/>
        <v>0.01</v>
      </c>
      <c r="ES29">
        <f t="shared" ca="1" si="47"/>
        <v>4.6501536000000003</v>
      </c>
      <c r="ET29">
        <f t="shared" ca="1" si="47"/>
        <v>-74.078029700000002</v>
      </c>
      <c r="EU29">
        <f t="shared" ca="1" si="47"/>
        <v>4.6502423000000004</v>
      </c>
      <c r="EV29">
        <f t="shared" ca="1" si="47"/>
        <v>-74.078021500000006</v>
      </c>
      <c r="EW29" t="e">
        <f t="shared" ca="1" si="47"/>
        <v>#REF!</v>
      </c>
      <c r="EX29">
        <f t="shared" ca="1" si="48"/>
        <v>2</v>
      </c>
      <c r="EY29">
        <f t="shared" ca="1" si="48"/>
        <v>3</v>
      </c>
      <c r="EZ29">
        <f t="shared" ca="1" si="48"/>
        <v>1</v>
      </c>
      <c r="FA29">
        <f t="shared" ca="1" si="48"/>
        <v>2</v>
      </c>
      <c r="FB29">
        <f t="shared" ca="1" si="48"/>
        <v>2</v>
      </c>
      <c r="FC29">
        <f t="shared" ca="1" si="48"/>
        <v>2</v>
      </c>
      <c r="FD29">
        <f t="shared" ca="1" si="48"/>
        <v>2</v>
      </c>
      <c r="FE29">
        <f t="shared" ca="1" si="48"/>
        <v>2</v>
      </c>
      <c r="FF29">
        <f t="shared" ca="1" si="48"/>
        <v>2</v>
      </c>
      <c r="FG29">
        <f t="shared" ca="1" si="48"/>
        <v>1</v>
      </c>
      <c r="FH29">
        <f t="shared" ca="1" si="49"/>
        <v>1</v>
      </c>
      <c r="FI29">
        <f t="shared" ca="1" si="49"/>
        <v>2</v>
      </c>
      <c r="FJ29">
        <f t="shared" ca="1" si="49"/>
        <v>2</v>
      </c>
      <c r="FK29">
        <f t="shared" ca="1" si="49"/>
        <v>2</v>
      </c>
      <c r="FL29">
        <f t="shared" ca="1" si="49"/>
        <v>2</v>
      </c>
      <c r="FM29">
        <f t="shared" ca="1" si="49"/>
        <v>2</v>
      </c>
      <c r="FN29">
        <f t="shared" ca="1" si="49"/>
        <v>1</v>
      </c>
      <c r="FO29">
        <f t="shared" ca="1" si="49"/>
        <v>1</v>
      </c>
      <c r="FP29">
        <f t="shared" ca="1" si="49"/>
        <v>2</v>
      </c>
      <c r="FQ29">
        <f t="shared" ca="1" si="49"/>
        <v>2</v>
      </c>
      <c r="FR29">
        <f t="shared" ca="1" si="50"/>
        <v>2</v>
      </c>
      <c r="FS29">
        <f t="shared" ca="1" si="50"/>
        <v>2</v>
      </c>
      <c r="FT29">
        <f t="shared" ca="1" si="50"/>
        <v>2</v>
      </c>
      <c r="FU29">
        <f t="shared" ca="1" si="50"/>
        <v>1</v>
      </c>
      <c r="FV29">
        <f t="shared" ca="1" si="50"/>
        <v>2</v>
      </c>
      <c r="FW29">
        <f t="shared" ca="1" si="50"/>
        <v>1</v>
      </c>
      <c r="FX29">
        <f t="shared" ca="1" si="50"/>
        <v>2</v>
      </c>
      <c r="FY29">
        <f t="shared" ca="1" si="50"/>
        <v>2</v>
      </c>
      <c r="FZ29">
        <f t="shared" ca="1" si="50"/>
        <v>2</v>
      </c>
      <c r="GA29">
        <f t="shared" ca="1" si="50"/>
        <v>2</v>
      </c>
      <c r="GB29">
        <f t="shared" ca="1" si="51"/>
        <v>2</v>
      </c>
      <c r="GC29">
        <f t="shared" ca="1" si="51"/>
        <v>2</v>
      </c>
      <c r="GD29">
        <f t="shared" ca="1" si="51"/>
        <v>1</v>
      </c>
      <c r="GE29">
        <f t="shared" ca="1" si="51"/>
        <v>2</v>
      </c>
      <c r="GF29">
        <f t="shared" ca="1" si="51"/>
        <v>3</v>
      </c>
      <c r="GG29">
        <f t="shared" ca="1" si="51"/>
        <v>2</v>
      </c>
      <c r="GH29">
        <f t="shared" ca="1" si="51"/>
        <v>2</v>
      </c>
      <c r="GI29">
        <f t="shared" ca="1" si="51"/>
        <v>1</v>
      </c>
      <c r="GJ29">
        <f t="shared" ca="1" si="51"/>
        <v>1</v>
      </c>
      <c r="GK29">
        <f t="shared" ca="1" si="51"/>
        <v>39500</v>
      </c>
      <c r="GL29">
        <f t="shared" ca="1" si="51"/>
        <v>2</v>
      </c>
      <c r="GM29">
        <f t="shared" ca="1" si="51"/>
        <v>50</v>
      </c>
      <c r="GN29">
        <f t="shared" ca="1" si="51"/>
        <v>42.47</v>
      </c>
      <c r="GO29">
        <f t="shared" ca="1" si="51"/>
        <v>0</v>
      </c>
      <c r="GP29" s="335"/>
    </row>
    <row r="30" spans="1:198" x14ac:dyDescent="0.25">
      <c r="A30" s="334"/>
      <c r="E30" s="142"/>
      <c r="G30" s="143"/>
      <c r="R30" s="335"/>
      <c r="S30" t="str">
        <f t="shared" si="54"/>
        <v>Facility type</v>
      </c>
      <c r="T30" t="s">
        <v>163</v>
      </c>
      <c r="U30">
        <v>5</v>
      </c>
      <c r="V30">
        <f>'CycleRAP Model'!O$16</f>
        <v>3</v>
      </c>
      <c r="W30" s="158" t="b">
        <f t="shared" ref="W30:W31" si="56">U30=V30</f>
        <v>0</v>
      </c>
      <c r="X30" s="167" t="b">
        <v>1</v>
      </c>
      <c r="Y30" s="163"/>
      <c r="Z30" s="163"/>
      <c r="AA30" s="181"/>
      <c r="AB30" s="167" t="b">
        <v>1</v>
      </c>
      <c r="AC30" s="163"/>
      <c r="AD30" s="163"/>
      <c r="AE30" s="181"/>
      <c r="AF30" s="212" t="b">
        <v>1</v>
      </c>
      <c r="AG30" s="212" t="b">
        <v>1</v>
      </c>
      <c r="AH30" s="212" t="b">
        <v>1</v>
      </c>
      <c r="AI30" s="212" t="b">
        <v>1</v>
      </c>
      <c r="AJ30" s="212" t="b">
        <v>1</v>
      </c>
      <c r="AK30" s="212" t="b">
        <v>1</v>
      </c>
      <c r="AL30" s="212" t="b">
        <v>1</v>
      </c>
      <c r="AM30" s="201" t="b">
        <v>1</v>
      </c>
      <c r="AN30" s="201" t="b">
        <v>1</v>
      </c>
      <c r="AO30" s="195"/>
      <c r="AP30" s="201" t="b">
        <v>1</v>
      </c>
      <c r="AQ30" s="195"/>
      <c r="AR30" s="195"/>
      <c r="AS30" s="201" t="b">
        <v>1</v>
      </c>
      <c r="AT30" s="195"/>
      <c r="AU30" s="195"/>
      <c r="AV30" s="212"/>
      <c r="AW30" s="201"/>
      <c r="AX30" s="201"/>
      <c r="AY30" s="201"/>
      <c r="AZ30" s="201"/>
      <c r="BA30" s="201"/>
      <c r="BB30" s="201"/>
      <c r="BC30" s="195"/>
      <c r="BD30" s="201"/>
      <c r="BE30" s="195"/>
      <c r="BF30" s="195"/>
      <c r="BG30" s="201"/>
      <c r="BH30" s="195"/>
      <c r="BI30" s="195"/>
      <c r="BJ30" s="195"/>
      <c r="BK30" s="195"/>
      <c r="BL30" s="195"/>
      <c r="BM30" s="195"/>
      <c r="BN30" s="195"/>
      <c r="BO30" s="195"/>
      <c r="BP30" s="195"/>
      <c r="BQ30" s="195"/>
      <c r="BR30" s="195"/>
      <c r="BS30" s="195"/>
      <c r="BT30" s="195"/>
      <c r="BU30" s="195"/>
      <c r="BV30" s="195"/>
      <c r="BW30" s="195"/>
      <c r="BX30" s="195"/>
      <c r="BY30" s="195"/>
      <c r="BZ30" s="195"/>
      <c r="CA30" s="195"/>
      <c r="CB30" s="195"/>
      <c r="CC30" s="195"/>
      <c r="CD30" s="201"/>
      <c r="CE30" s="201"/>
      <c r="CF30" s="201"/>
      <c r="CG30" s="195"/>
      <c r="CH30" s="201"/>
      <c r="CI30" s="201"/>
      <c r="CJ30" s="201"/>
      <c r="CK30" s="195"/>
      <c r="CL30" s="195"/>
      <c r="CM30" s="195"/>
      <c r="CN30" s="195"/>
      <c r="CO30" s="201" t="b">
        <v>1</v>
      </c>
      <c r="CP30" s="229"/>
      <c r="CQ30" s="229"/>
      <c r="CR30" s="229"/>
      <c r="CS30" s="195"/>
      <c r="CT30" s="195"/>
      <c r="CU30" s="195"/>
      <c r="CV30" s="195"/>
      <c r="CW30" s="195"/>
      <c r="CX30" s="195"/>
      <c r="CY30" s="195"/>
      <c r="CZ30" s="195"/>
      <c r="DA30" s="195"/>
      <c r="DB30" s="195"/>
      <c r="DC30" s="195"/>
      <c r="DD30" s="195"/>
      <c r="DE30" s="195"/>
      <c r="DF30" s="195"/>
      <c r="DG30" s="195"/>
      <c r="DH30" s="195"/>
      <c r="DI30" s="195"/>
      <c r="DJ30" s="201"/>
      <c r="DK30" s="201"/>
      <c r="DL30" s="195"/>
      <c r="DM30" s="195"/>
      <c r="DN30" s="201"/>
      <c r="DO30" s="201"/>
      <c r="DP30" s="195"/>
      <c r="DQ30" s="195"/>
      <c r="DR30" s="195"/>
      <c r="DS30" s="195"/>
      <c r="DT30" s="195"/>
      <c r="DU30" s="195"/>
      <c r="DV30" s="195"/>
      <c r="DW30" s="195"/>
      <c r="DX30" s="195"/>
      <c r="EB30" s="335"/>
      <c r="EF30" s="29"/>
      <c r="EH30" s="335"/>
      <c r="GP30" s="335"/>
    </row>
    <row r="31" spans="1:198" x14ac:dyDescent="0.25">
      <c r="A31" s="334"/>
      <c r="E31" s="142"/>
      <c r="G31" s="143"/>
      <c r="R31" s="335"/>
      <c r="S31" t="str">
        <f t="shared" si="54"/>
        <v>Facility type</v>
      </c>
      <c r="T31" t="s">
        <v>167</v>
      </c>
      <c r="U31">
        <v>6</v>
      </c>
      <c r="V31">
        <f>'CycleRAP Model'!O$16</f>
        <v>3</v>
      </c>
      <c r="W31" s="158" t="b">
        <f t="shared" si="56"/>
        <v>0</v>
      </c>
      <c r="X31" s="163"/>
      <c r="Y31" s="175" t="b">
        <v>1</v>
      </c>
      <c r="Z31" s="163"/>
      <c r="AA31" s="181"/>
      <c r="AB31" s="163"/>
      <c r="AC31" s="175" t="b">
        <v>1</v>
      </c>
      <c r="AD31" s="163"/>
      <c r="AE31" s="181"/>
      <c r="AF31" s="212" t="b">
        <v>1</v>
      </c>
      <c r="AG31" s="212" t="b">
        <v>1</v>
      </c>
      <c r="AH31" s="212" t="b">
        <v>1</v>
      </c>
      <c r="AI31" s="212" t="b">
        <v>1</v>
      </c>
      <c r="AJ31" s="212" t="b">
        <v>1</v>
      </c>
      <c r="AK31" s="212" t="b">
        <v>1</v>
      </c>
      <c r="AL31" s="212" t="b">
        <v>1</v>
      </c>
      <c r="AM31" s="201" t="b">
        <v>1</v>
      </c>
      <c r="AN31" s="201" t="b">
        <v>1</v>
      </c>
      <c r="AO31" s="195"/>
      <c r="AP31" s="201" t="b">
        <v>1</v>
      </c>
      <c r="AQ31" s="195"/>
      <c r="AR31" s="195"/>
      <c r="AS31" s="201" t="b">
        <v>1</v>
      </c>
      <c r="AT31" s="195"/>
      <c r="AU31" s="195"/>
      <c r="AV31" s="212"/>
      <c r="AW31" s="201"/>
      <c r="AX31" s="201"/>
      <c r="AY31" s="201"/>
      <c r="AZ31" s="201"/>
      <c r="BA31" s="201"/>
      <c r="BB31" s="201"/>
      <c r="BC31" s="195"/>
      <c r="BD31" s="201"/>
      <c r="BE31" s="195"/>
      <c r="BF31" s="195"/>
      <c r="BG31" s="201"/>
      <c r="BH31" s="195"/>
      <c r="BI31" s="195"/>
      <c r="BJ31" s="195"/>
      <c r="BK31" s="195"/>
      <c r="BL31" s="195"/>
      <c r="BM31" s="195"/>
      <c r="BN31" s="195"/>
      <c r="BO31" s="195"/>
      <c r="BP31" s="195"/>
      <c r="BQ31" s="195"/>
      <c r="BR31" s="195"/>
      <c r="BS31" s="195"/>
      <c r="BT31" s="195"/>
      <c r="BU31" s="195"/>
      <c r="BV31" s="195"/>
      <c r="BW31" s="195"/>
      <c r="BX31" s="195"/>
      <c r="BY31" s="195"/>
      <c r="BZ31" s="195"/>
      <c r="CA31" s="195"/>
      <c r="CB31" s="195"/>
      <c r="CC31" s="195"/>
      <c r="CD31" s="201"/>
      <c r="CE31" s="201"/>
      <c r="CF31" s="201"/>
      <c r="CG31" s="195"/>
      <c r="CH31" s="201"/>
      <c r="CI31" s="201"/>
      <c r="CJ31" s="201"/>
      <c r="CK31" s="195"/>
      <c r="CL31" s="195"/>
      <c r="CM31" s="195"/>
      <c r="CN31" s="195"/>
      <c r="CO31" s="201"/>
      <c r="CP31" s="229"/>
      <c r="CQ31" s="229"/>
      <c r="CR31" s="229"/>
      <c r="CS31" s="195"/>
      <c r="CT31" s="195"/>
      <c r="CU31" s="195"/>
      <c r="CV31" s="195"/>
      <c r="CW31" s="195"/>
      <c r="CX31" s="195"/>
      <c r="CY31" s="195"/>
      <c r="CZ31" s="195"/>
      <c r="DA31" s="195"/>
      <c r="DB31" s="195"/>
      <c r="DC31" s="195"/>
      <c r="DD31" s="195"/>
      <c r="DE31" s="195"/>
      <c r="DF31" s="195"/>
      <c r="DG31" s="195"/>
      <c r="DH31" s="195"/>
      <c r="DI31" s="195"/>
      <c r="DJ31" s="201"/>
      <c r="DK31" s="201"/>
      <c r="DL31" s="195"/>
      <c r="DM31" s="195"/>
      <c r="DN31" s="201"/>
      <c r="DO31" s="201"/>
      <c r="DP31" s="195"/>
      <c r="DQ31" s="195"/>
      <c r="DR31" s="195"/>
      <c r="DS31" s="195"/>
      <c r="DT31" s="195"/>
      <c r="DU31" s="195"/>
      <c r="DV31" s="195"/>
      <c r="DW31" s="195"/>
      <c r="DX31" s="195"/>
      <c r="EB31" s="335"/>
      <c r="EF31" s="29"/>
      <c r="EH31" s="335"/>
      <c r="GP31" s="335"/>
    </row>
    <row r="32" spans="1:198" x14ac:dyDescent="0.25">
      <c r="A32" s="334"/>
      <c r="R32" s="335"/>
      <c r="S32" s="154" t="s">
        <v>19</v>
      </c>
      <c r="T32" s="4" t="s">
        <v>151</v>
      </c>
      <c r="U32" s="157">
        <v>1</v>
      </c>
      <c r="V32" s="157">
        <f>'CycleRAP Model'!O17</f>
        <v>1</v>
      </c>
      <c r="W32" s="162" t="b">
        <f t="shared" si="52"/>
        <v>1</v>
      </c>
      <c r="X32" s="170"/>
      <c r="Y32" s="171"/>
      <c r="Z32" s="171"/>
      <c r="AA32" s="185"/>
      <c r="AB32" s="170"/>
      <c r="AC32" s="171"/>
      <c r="AD32" s="171"/>
      <c r="AE32" s="185"/>
      <c r="AF32" s="208"/>
      <c r="AG32" s="197"/>
      <c r="AH32" s="197"/>
      <c r="AI32" s="208"/>
      <c r="AJ32" s="197"/>
      <c r="AK32" s="197"/>
      <c r="AL32" s="197"/>
      <c r="AM32" s="197"/>
      <c r="AN32" s="197"/>
      <c r="AO32" s="197"/>
      <c r="AP32" s="197"/>
      <c r="AQ32" s="197"/>
      <c r="AR32" s="197"/>
      <c r="AS32" s="197"/>
      <c r="AT32" s="197"/>
      <c r="AU32" s="197"/>
      <c r="AV32" s="208"/>
      <c r="AW32" s="197"/>
      <c r="AX32" s="197"/>
      <c r="AY32" s="197"/>
      <c r="AZ32" s="197"/>
      <c r="BA32" s="197"/>
      <c r="BB32" s="197"/>
      <c r="BC32" s="197"/>
      <c r="BD32" s="197"/>
      <c r="BE32" s="197"/>
      <c r="BF32" s="197"/>
      <c r="BG32" s="197"/>
      <c r="BH32" s="197"/>
      <c r="BI32" s="197"/>
      <c r="BJ32" s="197"/>
      <c r="BK32" s="197"/>
      <c r="BL32" s="197"/>
      <c r="BM32" s="197"/>
      <c r="BN32" s="197"/>
      <c r="BO32" s="197"/>
      <c r="BP32" s="197"/>
      <c r="BQ32" s="197"/>
      <c r="BR32" s="197"/>
      <c r="BS32" s="197"/>
      <c r="BT32" s="197"/>
      <c r="BU32" s="197"/>
      <c r="BV32" s="197"/>
      <c r="BW32" s="197"/>
      <c r="BX32" s="197"/>
      <c r="BY32" s="197"/>
      <c r="BZ32" s="197"/>
      <c r="CA32" s="197"/>
      <c r="CB32" s="197"/>
      <c r="CC32" s="197"/>
      <c r="CD32" s="197"/>
      <c r="CE32" s="197"/>
      <c r="CF32" s="197"/>
      <c r="CG32" s="197"/>
      <c r="CH32" s="197"/>
      <c r="CI32" s="197"/>
      <c r="CJ32" s="197"/>
      <c r="CK32" s="197"/>
      <c r="CL32" s="197"/>
      <c r="CM32" s="197"/>
      <c r="CN32" s="197"/>
      <c r="CO32" s="197"/>
      <c r="CP32" s="197"/>
      <c r="CQ32" s="197"/>
      <c r="CR32" s="197"/>
      <c r="CS32" s="197"/>
      <c r="CT32" s="197"/>
      <c r="CU32" s="197"/>
      <c r="CV32" s="197"/>
      <c r="CW32" s="197"/>
      <c r="CX32" s="197"/>
      <c r="CY32" s="197"/>
      <c r="CZ32" s="197"/>
      <c r="DA32" s="197"/>
      <c r="DB32" s="197"/>
      <c r="DC32" s="197"/>
      <c r="DD32" s="197"/>
      <c r="DE32" s="197"/>
      <c r="DF32" s="197"/>
      <c r="DG32" s="197"/>
      <c r="DH32" s="197"/>
      <c r="DI32" s="197"/>
      <c r="DJ32" s="197"/>
      <c r="DK32" s="197"/>
      <c r="DL32" s="197"/>
      <c r="DM32" s="197"/>
      <c r="DN32" s="197"/>
      <c r="DO32" s="197"/>
      <c r="DP32" s="197"/>
      <c r="DQ32" s="197"/>
      <c r="DR32" s="197"/>
      <c r="DS32" s="197"/>
      <c r="DT32" s="197"/>
      <c r="DU32" s="197"/>
      <c r="DV32" s="197"/>
      <c r="DW32" s="197"/>
      <c r="DX32" s="197"/>
      <c r="EB32" s="335"/>
      <c r="EF32" s="29" t="str">
        <f>'CycleRAP Model'!K31</f>
        <v>Adjacent object or level change 0-1m</v>
      </c>
      <c r="EG32">
        <f>'CycleRAP Model'!O31</f>
        <v>1</v>
      </c>
      <c r="EH32" s="335"/>
      <c r="GP32" s="335"/>
    </row>
    <row r="33" spans="1:198" x14ac:dyDescent="0.25">
      <c r="A33" s="334"/>
      <c r="R33" s="335"/>
      <c r="S33" s="155" t="str">
        <f>S32</f>
        <v>Facility access</v>
      </c>
      <c r="T33" t="s">
        <v>20</v>
      </c>
      <c r="U33">
        <v>2</v>
      </c>
      <c r="V33">
        <f>'CycleRAP Model'!O17</f>
        <v>1</v>
      </c>
      <c r="W33" s="158" t="b">
        <f t="shared" si="52"/>
        <v>0</v>
      </c>
      <c r="X33" s="163"/>
      <c r="Y33" s="166"/>
      <c r="Z33" s="166"/>
      <c r="AA33" s="184"/>
      <c r="AB33" s="163"/>
      <c r="AC33" s="166"/>
      <c r="AD33" s="166"/>
      <c r="AE33" s="184"/>
      <c r="AF33" s="206"/>
      <c r="AG33" s="195"/>
      <c r="AH33" s="195"/>
      <c r="AI33" s="206"/>
      <c r="AJ33" s="195"/>
      <c r="AK33" s="195"/>
      <c r="AL33" s="195"/>
      <c r="AM33" s="195"/>
      <c r="AN33" s="195"/>
      <c r="AO33" s="195"/>
      <c r="AP33" s="195"/>
      <c r="AQ33" s="195"/>
      <c r="AR33" s="195"/>
      <c r="AS33" s="195"/>
      <c r="AT33" s="195"/>
      <c r="AU33" s="195"/>
      <c r="AV33" s="206"/>
      <c r="AW33" s="195"/>
      <c r="AX33" s="195"/>
      <c r="AY33" s="195"/>
      <c r="AZ33" s="195"/>
      <c r="BA33" s="195"/>
      <c r="BB33" s="195"/>
      <c r="BC33" s="195"/>
      <c r="BD33" s="195"/>
      <c r="BE33" s="195"/>
      <c r="BF33" s="195"/>
      <c r="BG33" s="195"/>
      <c r="BH33" s="195"/>
      <c r="BI33" s="195"/>
      <c r="BJ33" s="195"/>
      <c r="BK33" s="195"/>
      <c r="BL33" s="195"/>
      <c r="BM33" s="195"/>
      <c r="BN33" s="195"/>
      <c r="BO33" s="195"/>
      <c r="BP33" s="195"/>
      <c r="BQ33" s="195"/>
      <c r="BR33" s="195"/>
      <c r="BS33" s="195"/>
      <c r="BT33" s="195"/>
      <c r="BU33" s="195"/>
      <c r="BV33" s="195"/>
      <c r="BW33" s="201" t="b">
        <v>1</v>
      </c>
      <c r="BX33" s="195"/>
      <c r="BY33" s="195"/>
      <c r="BZ33" s="195"/>
      <c r="CA33" s="195"/>
      <c r="CB33" s="195"/>
      <c r="CC33" s="195"/>
      <c r="CD33" s="195"/>
      <c r="CE33" s="195"/>
      <c r="CF33" s="195"/>
      <c r="CG33" s="195"/>
      <c r="CH33" s="195"/>
      <c r="CI33" s="195"/>
      <c r="CJ33" s="195"/>
      <c r="CK33" s="195"/>
      <c r="CL33" s="195"/>
      <c r="CM33" s="195"/>
      <c r="CN33" s="195"/>
      <c r="CO33" s="195"/>
      <c r="CP33" s="195"/>
      <c r="CQ33" s="195"/>
      <c r="CR33" s="195"/>
      <c r="CS33" s="195"/>
      <c r="CT33" s="195"/>
      <c r="CU33" s="195"/>
      <c r="CV33" s="195"/>
      <c r="CW33" s="195"/>
      <c r="CX33" s="195"/>
      <c r="CY33" s="195"/>
      <c r="CZ33" s="195"/>
      <c r="DA33" s="195"/>
      <c r="DB33" s="195"/>
      <c r="DC33" s="195"/>
      <c r="DD33" s="195"/>
      <c r="DE33" s="195"/>
      <c r="DF33" s="195"/>
      <c r="DG33" s="195"/>
      <c r="DH33" s="195"/>
      <c r="DI33" s="195"/>
      <c r="DJ33" s="195"/>
      <c r="DK33" s="195"/>
      <c r="DL33" s="195"/>
      <c r="DM33" s="195"/>
      <c r="DN33" s="195"/>
      <c r="DO33" s="195"/>
      <c r="DP33" s="195"/>
      <c r="DQ33" s="195"/>
      <c r="DR33" s="195"/>
      <c r="DS33" s="195"/>
      <c r="DT33" s="195"/>
      <c r="DU33" s="195"/>
      <c r="DV33" s="195"/>
      <c r="DW33" s="195"/>
      <c r="DX33" s="195"/>
      <c r="EB33" s="335"/>
      <c r="EF33" s="29" t="str">
        <f>'CycleRAP Model'!K32</f>
        <v>Adjacent sidewalk 0-1m</v>
      </c>
      <c r="EG33">
        <f>'CycleRAP Model'!O32</f>
        <v>1</v>
      </c>
      <c r="EH33" s="335"/>
      <c r="GP33" s="335"/>
    </row>
    <row r="34" spans="1:198" x14ac:dyDescent="0.25">
      <c r="A34" s="334"/>
      <c r="R34" s="335"/>
      <c r="S34" s="154" t="s">
        <v>23</v>
      </c>
      <c r="T34" s="4" t="s">
        <v>24</v>
      </c>
      <c r="U34" s="157">
        <v>1</v>
      </c>
      <c r="V34" s="157">
        <f>'CycleRAP Model'!O18</f>
        <v>2</v>
      </c>
      <c r="W34" s="162" t="b">
        <f t="shared" si="52"/>
        <v>0</v>
      </c>
      <c r="X34" s="170"/>
      <c r="Y34" s="171"/>
      <c r="Z34" s="171"/>
      <c r="AA34" s="185"/>
      <c r="AB34" s="170"/>
      <c r="AC34" s="171"/>
      <c r="AD34" s="171"/>
      <c r="AE34" s="185"/>
      <c r="AF34" s="208"/>
      <c r="AG34" s="197"/>
      <c r="AH34" s="197"/>
      <c r="AI34" s="208"/>
      <c r="AJ34" s="197"/>
      <c r="AK34" s="197"/>
      <c r="AL34" s="197"/>
      <c r="AM34" s="197"/>
      <c r="AN34" s="197"/>
      <c r="AO34" s="197"/>
      <c r="AP34" s="197"/>
      <c r="AQ34" s="197"/>
      <c r="AR34" s="197"/>
      <c r="AS34" s="197"/>
      <c r="AT34" s="197"/>
      <c r="AU34" s="197"/>
      <c r="AV34" s="208"/>
      <c r="AW34" s="197"/>
      <c r="AX34" s="197"/>
      <c r="AY34" s="197"/>
      <c r="AZ34" s="197"/>
      <c r="BA34" s="197"/>
      <c r="BB34" s="197"/>
      <c r="BC34" s="202" t="b">
        <v>1</v>
      </c>
      <c r="BD34" s="197"/>
      <c r="BE34" s="197"/>
      <c r="BF34" s="197"/>
      <c r="BG34" s="197"/>
      <c r="BH34" s="197"/>
      <c r="BI34" s="197"/>
      <c r="BJ34" s="197"/>
      <c r="BK34" s="197"/>
      <c r="BL34" s="197"/>
      <c r="BM34" s="197"/>
      <c r="BN34" s="197"/>
      <c r="BO34" s="197"/>
      <c r="BP34" s="197"/>
      <c r="BQ34" s="197"/>
      <c r="BR34" s="197"/>
      <c r="BS34" s="197"/>
      <c r="BT34" s="197"/>
      <c r="BU34" s="197"/>
      <c r="BV34" s="197"/>
      <c r="BW34" s="202"/>
      <c r="BX34" s="197"/>
      <c r="BY34" s="197"/>
      <c r="BZ34" s="197"/>
      <c r="CA34" s="197"/>
      <c r="CB34" s="197"/>
      <c r="CC34" s="197"/>
      <c r="CD34" s="197"/>
      <c r="CE34" s="197"/>
      <c r="CF34" s="197"/>
      <c r="CG34" s="197"/>
      <c r="CH34" s="197"/>
      <c r="CI34" s="197"/>
      <c r="CJ34" s="197"/>
      <c r="CK34" s="197"/>
      <c r="CL34" s="197"/>
      <c r="CM34" s="197"/>
      <c r="CN34" s="197"/>
      <c r="CO34" s="197"/>
      <c r="CP34" s="197"/>
      <c r="CQ34" s="197"/>
      <c r="CR34" s="197"/>
      <c r="CS34" s="197"/>
      <c r="CT34" s="197"/>
      <c r="CU34" s="197"/>
      <c r="CV34" s="197"/>
      <c r="CW34" s="197"/>
      <c r="CX34" s="197"/>
      <c r="CY34" s="197"/>
      <c r="CZ34" s="197"/>
      <c r="DA34" s="197"/>
      <c r="DB34" s="197"/>
      <c r="DC34" s="197"/>
      <c r="DD34" s="197"/>
      <c r="DE34" s="197"/>
      <c r="DF34" s="197"/>
      <c r="DG34" s="197"/>
      <c r="DH34" s="197"/>
      <c r="DI34" s="197"/>
      <c r="DJ34" s="197"/>
      <c r="DK34" s="197"/>
      <c r="DL34" s="197"/>
      <c r="DM34" s="197"/>
      <c r="DN34" s="197"/>
      <c r="DO34" s="197"/>
      <c r="DP34" s="197"/>
      <c r="DQ34" s="197"/>
      <c r="DR34" s="197"/>
      <c r="DS34" s="197"/>
      <c r="DT34" s="197"/>
      <c r="DU34" s="197"/>
      <c r="DV34" s="197"/>
      <c r="DW34" s="197"/>
      <c r="DX34" s="197"/>
      <c r="EB34" s="335"/>
      <c r="EF34" s="29" t="str">
        <f>'CycleRAP Model'!K33</f>
        <v>Adjacent road lane 1-3m</v>
      </c>
      <c r="EG34">
        <f>'CycleRAP Model'!O33</f>
        <v>2</v>
      </c>
      <c r="EH34" s="335"/>
      <c r="GP34" s="335"/>
    </row>
    <row r="35" spans="1:198" x14ac:dyDescent="0.25">
      <c r="A35" s="334"/>
      <c r="R35" s="335"/>
      <c r="S35" s="155" t="str">
        <f>S34</f>
        <v>Loose or slippery surface</v>
      </c>
      <c r="T35" t="s">
        <v>22</v>
      </c>
      <c r="U35">
        <v>2</v>
      </c>
      <c r="V35">
        <f>'CycleRAP Model'!O18</f>
        <v>2</v>
      </c>
      <c r="W35" s="158" t="b">
        <f t="shared" si="52"/>
        <v>1</v>
      </c>
      <c r="X35" s="163"/>
      <c r="Y35" s="166"/>
      <c r="Z35" s="166"/>
      <c r="AA35" s="184"/>
      <c r="AB35" s="163"/>
      <c r="AC35" s="166"/>
      <c r="AD35" s="166"/>
      <c r="AE35" s="184"/>
      <c r="AF35" s="206"/>
      <c r="AG35" s="195"/>
      <c r="AH35" s="195"/>
      <c r="AI35" s="206"/>
      <c r="AJ35" s="195"/>
      <c r="AK35" s="195"/>
      <c r="AL35" s="195"/>
      <c r="AM35" s="195"/>
      <c r="AN35" s="195"/>
      <c r="AO35" s="195"/>
      <c r="AP35" s="195"/>
      <c r="AQ35" s="195"/>
      <c r="AR35" s="195"/>
      <c r="AS35" s="195"/>
      <c r="AT35" s="195"/>
      <c r="AU35" s="195"/>
      <c r="AV35" s="206"/>
      <c r="AW35" s="195"/>
      <c r="AX35" s="195"/>
      <c r="AY35" s="195"/>
      <c r="AZ35" s="195"/>
      <c r="BA35" s="195"/>
      <c r="BB35" s="195"/>
      <c r="BC35" s="195"/>
      <c r="BD35" s="195"/>
      <c r="BE35" s="195"/>
      <c r="BF35" s="195"/>
      <c r="BG35" s="195"/>
      <c r="BH35" s="195"/>
      <c r="BI35" s="195"/>
      <c r="BJ35" s="195"/>
      <c r="BK35" s="195"/>
      <c r="BL35" s="195"/>
      <c r="BM35" s="195"/>
      <c r="BN35" s="195"/>
      <c r="BO35" s="195"/>
      <c r="BP35" s="195"/>
      <c r="BQ35" s="195"/>
      <c r="BR35" s="195"/>
      <c r="BS35" s="195"/>
      <c r="BT35" s="195"/>
      <c r="BU35" s="195"/>
      <c r="BV35" s="195"/>
      <c r="BW35" s="195"/>
      <c r="BX35" s="195"/>
      <c r="BY35" s="195"/>
      <c r="BZ35" s="195"/>
      <c r="CA35" s="195"/>
      <c r="CB35" s="195"/>
      <c r="CC35" s="195"/>
      <c r="CD35" s="195"/>
      <c r="CE35" s="195"/>
      <c r="CF35" s="195"/>
      <c r="CG35" s="195"/>
      <c r="CH35" s="195"/>
      <c r="CI35" s="195"/>
      <c r="CJ35" s="195"/>
      <c r="CK35" s="195"/>
      <c r="CL35" s="195"/>
      <c r="CM35" s="195"/>
      <c r="CN35" s="195"/>
      <c r="CO35" s="195"/>
      <c r="CP35" s="195"/>
      <c r="CQ35" s="195"/>
      <c r="CR35" s="195"/>
      <c r="CS35" s="195"/>
      <c r="CT35" s="195"/>
      <c r="CU35" s="195"/>
      <c r="CV35" s="195"/>
      <c r="CW35" s="195"/>
      <c r="CX35" s="195"/>
      <c r="CY35" s="195"/>
      <c r="CZ35" s="195"/>
      <c r="DA35" s="195"/>
      <c r="DB35" s="195"/>
      <c r="DC35" s="195"/>
      <c r="DD35" s="195"/>
      <c r="DE35" s="195"/>
      <c r="DF35" s="195"/>
      <c r="DG35" s="195"/>
      <c r="DH35" s="195"/>
      <c r="DI35" s="195"/>
      <c r="DJ35" s="195"/>
      <c r="DK35" s="195"/>
      <c r="DL35" s="195"/>
      <c r="DM35" s="195"/>
      <c r="DN35" s="195"/>
      <c r="DO35" s="195"/>
      <c r="DP35" s="195"/>
      <c r="DQ35" s="195"/>
      <c r="DR35" s="195"/>
      <c r="DS35" s="195"/>
      <c r="DT35" s="195"/>
      <c r="DU35" s="195"/>
      <c r="DV35" s="195"/>
      <c r="DW35" s="195"/>
      <c r="DX35" s="195"/>
      <c r="EB35" s="335"/>
      <c r="EF35" s="29" t="str">
        <f>'CycleRAP Model'!K34</f>
        <v>Adjacent vehicle parking 1-3m</v>
      </c>
      <c r="EG35">
        <f>'CycleRAP Model'!O34</f>
        <v>2</v>
      </c>
      <c r="EH35" s="335"/>
      <c r="GP35" s="335"/>
    </row>
    <row r="36" spans="1:198" x14ac:dyDescent="0.25">
      <c r="A36" s="334"/>
      <c r="R36" s="335"/>
      <c r="S36" s="154" t="s">
        <v>26</v>
      </c>
      <c r="T36" s="4" t="s">
        <v>24</v>
      </c>
      <c r="U36" s="157">
        <v>1</v>
      </c>
      <c r="V36" s="157">
        <f>'CycleRAP Model'!O19</f>
        <v>2</v>
      </c>
      <c r="W36" s="162" t="b">
        <f t="shared" si="52"/>
        <v>0</v>
      </c>
      <c r="X36" s="170"/>
      <c r="Y36" s="171"/>
      <c r="Z36" s="171"/>
      <c r="AA36" s="185"/>
      <c r="AB36" s="170"/>
      <c r="AC36" s="171"/>
      <c r="AD36" s="171"/>
      <c r="AE36" s="185"/>
      <c r="AF36" s="208"/>
      <c r="AG36" s="197"/>
      <c r="AH36" s="197"/>
      <c r="AI36" s="208"/>
      <c r="AJ36" s="197"/>
      <c r="AK36" s="197"/>
      <c r="AL36" s="197"/>
      <c r="AM36" s="197"/>
      <c r="AN36" s="197"/>
      <c r="AO36" s="197"/>
      <c r="AP36" s="197"/>
      <c r="AQ36" s="197"/>
      <c r="AR36" s="197"/>
      <c r="AS36" s="197"/>
      <c r="AT36" s="197"/>
      <c r="AU36" s="197"/>
      <c r="AV36" s="208"/>
      <c r="AW36" s="197"/>
      <c r="AX36" s="197"/>
      <c r="AY36" s="197"/>
      <c r="AZ36" s="197"/>
      <c r="BA36" s="197"/>
      <c r="BB36" s="197"/>
      <c r="BC36" s="197"/>
      <c r="BD36" s="197"/>
      <c r="BE36" s="197"/>
      <c r="BF36" s="197"/>
      <c r="BG36" s="197"/>
      <c r="BH36" s="197"/>
      <c r="BI36" s="197"/>
      <c r="BJ36" s="197"/>
      <c r="BK36" s="197"/>
      <c r="BL36" s="197"/>
      <c r="BM36" s="202" t="b">
        <v>1</v>
      </c>
      <c r="BN36" s="197"/>
      <c r="BO36" s="197"/>
      <c r="BP36" s="197"/>
      <c r="BQ36" s="197"/>
      <c r="BR36" s="197"/>
      <c r="BS36" s="197"/>
      <c r="BT36" s="197"/>
      <c r="BU36" s="197"/>
      <c r="BV36" s="197"/>
      <c r="BW36" s="197"/>
      <c r="BX36" s="197"/>
      <c r="BY36" s="197"/>
      <c r="BZ36" s="197"/>
      <c r="CA36" s="197"/>
      <c r="CB36" s="197"/>
      <c r="CC36" s="197"/>
      <c r="CD36" s="197"/>
      <c r="CE36" s="197"/>
      <c r="CF36" s="197"/>
      <c r="CG36" s="197"/>
      <c r="CH36" s="197"/>
      <c r="CI36" s="197"/>
      <c r="CJ36" s="197"/>
      <c r="CK36" s="197"/>
      <c r="CL36" s="197"/>
      <c r="CM36" s="197"/>
      <c r="CN36" s="197"/>
      <c r="CO36" s="197"/>
      <c r="CP36" s="197"/>
      <c r="CQ36" s="197"/>
      <c r="CR36" s="197"/>
      <c r="CS36" s="197"/>
      <c r="CT36" s="197"/>
      <c r="CU36" s="197"/>
      <c r="CV36" s="197"/>
      <c r="CW36" s="197"/>
      <c r="CX36" s="202" t="b">
        <v>1</v>
      </c>
      <c r="CY36" s="197"/>
      <c r="CZ36" s="197"/>
      <c r="DA36" s="197"/>
      <c r="DB36" s="197"/>
      <c r="DC36" s="197"/>
      <c r="DD36" s="197"/>
      <c r="DE36" s="197"/>
      <c r="DF36" s="197"/>
      <c r="DG36" s="197"/>
      <c r="DH36" s="202" t="b">
        <v>1</v>
      </c>
      <c r="DI36" s="197"/>
      <c r="DJ36" s="197"/>
      <c r="DK36" s="197"/>
      <c r="DL36" s="197"/>
      <c r="DM36" s="197"/>
      <c r="DN36" s="197"/>
      <c r="DO36" s="197"/>
      <c r="DP36" s="197"/>
      <c r="DQ36" s="197"/>
      <c r="DR36" s="197"/>
      <c r="DS36" s="197"/>
      <c r="DT36" s="197"/>
      <c r="DU36" s="197"/>
      <c r="DV36" s="197"/>
      <c r="DW36" s="197"/>
      <c r="DX36" s="197"/>
      <c r="EB36" s="335"/>
      <c r="EF36" s="29" t="str">
        <f>'CycleRAP Model'!K35</f>
        <v>Adjacent severe hazard 1-3m</v>
      </c>
      <c r="EG36">
        <f>'CycleRAP Model'!O35</f>
        <v>2</v>
      </c>
      <c r="EH36" s="335"/>
      <c r="GP36" s="335"/>
    </row>
    <row r="37" spans="1:198" x14ac:dyDescent="0.25">
      <c r="A37" s="334"/>
      <c r="R37" s="335"/>
      <c r="S37" s="155" t="str">
        <f>S36</f>
        <v>Tram or train rails</v>
      </c>
      <c r="T37" t="s">
        <v>22</v>
      </c>
      <c r="U37">
        <v>2</v>
      </c>
      <c r="V37">
        <f>'CycleRAP Model'!O19</f>
        <v>2</v>
      </c>
      <c r="W37" s="158" t="b">
        <f t="shared" si="52"/>
        <v>1</v>
      </c>
      <c r="X37" s="163"/>
      <c r="Y37" s="166"/>
      <c r="Z37" s="166"/>
      <c r="AA37" s="184"/>
      <c r="AB37" s="163"/>
      <c r="AC37" s="166"/>
      <c r="AD37" s="166"/>
      <c r="AE37" s="184"/>
      <c r="AF37" s="206"/>
      <c r="AG37" s="195"/>
      <c r="AH37" s="195"/>
      <c r="AI37" s="206"/>
      <c r="AJ37" s="195"/>
      <c r="AK37" s="195"/>
      <c r="AL37" s="195"/>
      <c r="AM37" s="195"/>
      <c r="AN37" s="195"/>
      <c r="AO37" s="195"/>
      <c r="AP37" s="195"/>
      <c r="AQ37" s="195"/>
      <c r="AR37" s="195"/>
      <c r="AS37" s="195"/>
      <c r="AT37" s="195"/>
      <c r="AU37" s="195"/>
      <c r="AV37" s="206"/>
      <c r="AW37" s="195"/>
      <c r="AX37" s="195"/>
      <c r="AY37" s="195"/>
      <c r="AZ37" s="195"/>
      <c r="BA37" s="195"/>
      <c r="BB37" s="195"/>
      <c r="BC37" s="195"/>
      <c r="BD37" s="195"/>
      <c r="BE37" s="195"/>
      <c r="BF37" s="195"/>
      <c r="BG37" s="195"/>
      <c r="BH37" s="195"/>
      <c r="BI37" s="195"/>
      <c r="BJ37" s="195"/>
      <c r="BK37" s="195"/>
      <c r="BL37" s="195"/>
      <c r="BM37" s="195"/>
      <c r="BN37" s="195"/>
      <c r="BO37" s="195"/>
      <c r="BP37" s="195"/>
      <c r="BQ37" s="195"/>
      <c r="BR37" s="195"/>
      <c r="BS37" s="195"/>
      <c r="BT37" s="195"/>
      <c r="BU37" s="195"/>
      <c r="BV37" s="195"/>
      <c r="BW37" s="195"/>
      <c r="BX37" s="195"/>
      <c r="BY37" s="195"/>
      <c r="BZ37" s="195"/>
      <c r="CA37" s="195"/>
      <c r="CB37" s="195"/>
      <c r="CC37" s="195"/>
      <c r="CD37" s="195"/>
      <c r="CE37" s="195"/>
      <c r="CF37" s="195"/>
      <c r="CG37" s="195"/>
      <c r="CH37" s="195"/>
      <c r="CI37" s="195"/>
      <c r="CJ37" s="195"/>
      <c r="CK37" s="195"/>
      <c r="CL37" s="195"/>
      <c r="CM37" s="195"/>
      <c r="CN37" s="195"/>
      <c r="CO37" s="195"/>
      <c r="CP37" s="195"/>
      <c r="CQ37" s="195"/>
      <c r="CR37" s="195"/>
      <c r="CS37" s="195"/>
      <c r="CT37" s="195"/>
      <c r="CU37" s="195"/>
      <c r="CV37" s="195"/>
      <c r="CW37" s="195"/>
      <c r="CX37" s="195"/>
      <c r="CY37" s="195"/>
      <c r="CZ37" s="195"/>
      <c r="DA37" s="195"/>
      <c r="DB37" s="195"/>
      <c r="DC37" s="195"/>
      <c r="DD37" s="195"/>
      <c r="DE37" s="195"/>
      <c r="DF37" s="195"/>
      <c r="DG37" s="195"/>
      <c r="DH37" s="195"/>
      <c r="DI37" s="195"/>
      <c r="DJ37" s="195"/>
      <c r="DK37" s="195"/>
      <c r="DL37" s="195"/>
      <c r="DM37" s="195"/>
      <c r="DN37" s="195"/>
      <c r="DO37" s="195"/>
      <c r="DP37" s="195"/>
      <c r="DQ37" s="195"/>
      <c r="DR37" s="195"/>
      <c r="DS37" s="195"/>
      <c r="DT37" s="195"/>
      <c r="DU37" s="195"/>
      <c r="DV37" s="195"/>
      <c r="DW37" s="195"/>
      <c r="DX37" s="195"/>
      <c r="EB37" s="335"/>
      <c r="EF37" s="29" t="str">
        <f>'CycleRAP Model'!K36</f>
        <v>Adjacent object or level change 1-3m</v>
      </c>
      <c r="EG37">
        <f>'CycleRAP Model'!O36</f>
        <v>2</v>
      </c>
      <c r="EH37" s="335"/>
      <c r="GP37" s="335"/>
    </row>
    <row r="38" spans="1:198" x14ac:dyDescent="0.25">
      <c r="A38" s="334"/>
      <c r="R38" s="335"/>
      <c r="S38" s="154" t="s">
        <v>28</v>
      </c>
      <c r="T38" s="4" t="s">
        <v>24</v>
      </c>
      <c r="U38" s="157">
        <v>1</v>
      </c>
      <c r="V38" s="157">
        <f>'CycleRAP Model'!O20</f>
        <v>2</v>
      </c>
      <c r="W38" s="162" t="b">
        <f t="shared" si="52"/>
        <v>0</v>
      </c>
      <c r="X38" s="170"/>
      <c r="Y38" s="171"/>
      <c r="Z38" s="171"/>
      <c r="AA38" s="185"/>
      <c r="AB38" s="170"/>
      <c r="AC38" s="171"/>
      <c r="AD38" s="171"/>
      <c r="AE38" s="185"/>
      <c r="AF38" s="208"/>
      <c r="AG38" s="197"/>
      <c r="AH38" s="197"/>
      <c r="AI38" s="208"/>
      <c r="AJ38" s="197"/>
      <c r="AK38" s="197"/>
      <c r="AL38" s="197"/>
      <c r="AM38" s="197"/>
      <c r="AN38" s="197"/>
      <c r="AO38" s="197"/>
      <c r="AP38" s="197"/>
      <c r="AQ38" s="197"/>
      <c r="AR38" s="197"/>
      <c r="AS38" s="197"/>
      <c r="AT38" s="197"/>
      <c r="AU38" s="197"/>
      <c r="AV38" s="208"/>
      <c r="AW38" s="197"/>
      <c r="AX38" s="197"/>
      <c r="AY38" s="197"/>
      <c r="AZ38" s="197"/>
      <c r="BA38" s="197"/>
      <c r="BB38" s="197"/>
      <c r="BC38" s="197"/>
      <c r="BD38" s="197"/>
      <c r="BE38" s="197"/>
      <c r="BF38" s="197"/>
      <c r="BG38" s="197"/>
      <c r="BH38" s="197"/>
      <c r="BI38" s="197"/>
      <c r="BJ38" s="197"/>
      <c r="BK38" s="197"/>
      <c r="BL38" s="197"/>
      <c r="BM38" s="197"/>
      <c r="BN38" s="197"/>
      <c r="BO38" s="197"/>
      <c r="BP38" s="197"/>
      <c r="BQ38" s="197"/>
      <c r="BR38" s="197"/>
      <c r="BS38" s="197"/>
      <c r="BT38" s="197"/>
      <c r="BU38" s="197"/>
      <c r="BV38" s="197"/>
      <c r="BW38" s="197"/>
      <c r="BX38" s="197"/>
      <c r="BY38" s="197"/>
      <c r="BZ38" s="197"/>
      <c r="CA38" s="197"/>
      <c r="CB38" s="197"/>
      <c r="CC38" s="197"/>
      <c r="CD38" s="197"/>
      <c r="CE38" s="197"/>
      <c r="CF38" s="197"/>
      <c r="CG38" s="197"/>
      <c r="CH38" s="197"/>
      <c r="CI38" s="197"/>
      <c r="CJ38" s="197"/>
      <c r="CK38" s="197"/>
      <c r="CL38" s="197"/>
      <c r="CM38" s="197"/>
      <c r="CN38" s="197"/>
      <c r="CO38" s="197"/>
      <c r="CP38" s="197"/>
      <c r="CQ38" s="197"/>
      <c r="CR38" s="197"/>
      <c r="CS38" s="197"/>
      <c r="CT38" s="197"/>
      <c r="CU38" s="197"/>
      <c r="CV38" s="197"/>
      <c r="CW38" s="197"/>
      <c r="CX38" s="197"/>
      <c r="CY38" s="197"/>
      <c r="CZ38" s="197"/>
      <c r="DA38" s="197"/>
      <c r="DB38" s="197"/>
      <c r="DC38" s="197"/>
      <c r="DD38" s="197"/>
      <c r="DE38" s="197"/>
      <c r="DF38" s="197"/>
      <c r="DG38" s="197"/>
      <c r="DH38" s="197"/>
      <c r="DI38" s="197"/>
      <c r="DJ38" s="197"/>
      <c r="DK38" s="197"/>
      <c r="DL38" s="197"/>
      <c r="DM38" s="197"/>
      <c r="DN38" s="197"/>
      <c r="DO38" s="197"/>
      <c r="DP38" s="197"/>
      <c r="DQ38" s="197"/>
      <c r="DR38" s="197"/>
      <c r="DS38" s="197"/>
      <c r="DT38" s="197"/>
      <c r="DU38" s="197"/>
      <c r="DV38" s="197"/>
      <c r="DW38" s="197"/>
      <c r="DX38" s="197"/>
      <c r="EB38" s="335"/>
      <c r="EF38" s="29" t="str">
        <f>'CycleRAP Model'!K37</f>
        <v>Adjacent sidewalk 1-3m</v>
      </c>
      <c r="EG38">
        <f>'CycleRAP Model'!O37</f>
        <v>2</v>
      </c>
      <c r="EH38" s="335"/>
      <c r="GP38" s="335"/>
    </row>
    <row r="39" spans="1:198" x14ac:dyDescent="0.25">
      <c r="A39" s="334"/>
      <c r="R39" s="335"/>
      <c r="S39" s="155" t="str">
        <f>S38</f>
        <v>Major surface deformation or drain opening</v>
      </c>
      <c r="T39" t="s">
        <v>22</v>
      </c>
      <c r="U39">
        <v>2</v>
      </c>
      <c r="V39">
        <f>'CycleRAP Model'!O20</f>
        <v>2</v>
      </c>
      <c r="W39" s="158" t="b">
        <f t="shared" si="52"/>
        <v>1</v>
      </c>
      <c r="X39" s="163"/>
      <c r="Y39" s="166"/>
      <c r="Z39" s="166"/>
      <c r="AA39" s="184"/>
      <c r="AB39" s="163"/>
      <c r="AC39" s="166"/>
      <c r="AD39" s="166"/>
      <c r="AE39" s="184"/>
      <c r="AF39" s="206"/>
      <c r="AG39" s="195"/>
      <c r="AH39" s="195"/>
      <c r="AI39" s="206"/>
      <c r="AJ39" s="195"/>
      <c r="AK39" s="195"/>
      <c r="AL39" s="195"/>
      <c r="AM39" s="195"/>
      <c r="AN39" s="195"/>
      <c r="AO39" s="195"/>
      <c r="AP39" s="195"/>
      <c r="AQ39" s="195"/>
      <c r="AR39" s="195"/>
      <c r="AS39" s="195"/>
      <c r="AT39" s="195"/>
      <c r="AU39" s="195"/>
      <c r="AV39" s="206"/>
      <c r="AW39" s="195"/>
      <c r="AX39" s="195"/>
      <c r="AY39" s="195"/>
      <c r="AZ39" s="195"/>
      <c r="BA39" s="195"/>
      <c r="BB39" s="195"/>
      <c r="BC39" s="195"/>
      <c r="BD39" s="195"/>
      <c r="BE39" s="195"/>
      <c r="BF39" s="195"/>
      <c r="BG39" s="195"/>
      <c r="BH39" s="195"/>
      <c r="BI39" s="195"/>
      <c r="BJ39" s="195"/>
      <c r="BK39" s="195"/>
      <c r="BL39" s="195"/>
      <c r="BM39" s="195"/>
      <c r="BN39" s="195"/>
      <c r="BO39" s="195"/>
      <c r="BP39" s="195"/>
      <c r="BQ39" s="195"/>
      <c r="BR39" s="195"/>
      <c r="BS39" s="195"/>
      <c r="BT39" s="195"/>
      <c r="BU39" s="195"/>
      <c r="BV39" s="195"/>
      <c r="BW39" s="195"/>
      <c r="BX39" s="195"/>
      <c r="BY39" s="195"/>
      <c r="BZ39" s="195"/>
      <c r="CA39" s="195"/>
      <c r="CB39" s="195"/>
      <c r="CC39" s="195"/>
      <c r="CD39" s="195"/>
      <c r="CE39" s="195"/>
      <c r="CF39" s="195"/>
      <c r="CG39" s="195"/>
      <c r="CH39" s="195"/>
      <c r="CI39" s="195"/>
      <c r="CJ39" s="195"/>
      <c r="CK39" s="195"/>
      <c r="CL39" s="195"/>
      <c r="CM39" s="195"/>
      <c r="CN39" s="195"/>
      <c r="CO39" s="195"/>
      <c r="CP39" s="195"/>
      <c r="CQ39" s="195"/>
      <c r="CR39" s="195"/>
      <c r="CS39" s="195"/>
      <c r="CT39" s="195"/>
      <c r="CU39" s="195"/>
      <c r="CV39" s="195"/>
      <c r="CW39" s="195"/>
      <c r="CX39" s="195"/>
      <c r="CY39" s="195"/>
      <c r="CZ39" s="195"/>
      <c r="DA39" s="195"/>
      <c r="DB39" s="195"/>
      <c r="DC39" s="195"/>
      <c r="DD39" s="195"/>
      <c r="DE39" s="195"/>
      <c r="DF39" s="195"/>
      <c r="DG39" s="195"/>
      <c r="DH39" s="195"/>
      <c r="DI39" s="195"/>
      <c r="DJ39" s="195"/>
      <c r="DK39" s="195"/>
      <c r="DL39" s="195"/>
      <c r="DM39" s="195"/>
      <c r="DN39" s="195"/>
      <c r="DO39" s="195"/>
      <c r="DP39" s="195"/>
      <c r="DQ39" s="195"/>
      <c r="DR39" s="195"/>
      <c r="DS39" s="195"/>
      <c r="DT39" s="195"/>
      <c r="DU39" s="195"/>
      <c r="DV39" s="195"/>
      <c r="DW39" s="195"/>
      <c r="DX39" s="195"/>
      <c r="EB39" s="335"/>
      <c r="EF39" s="29" t="str">
        <f>'CycleRAP Model'!K38</f>
        <v>Grade</v>
      </c>
      <c r="EG39">
        <f>'CycleRAP Model'!O38</f>
        <v>1</v>
      </c>
      <c r="EH39" s="335"/>
      <c r="GP39" s="335"/>
    </row>
    <row r="40" spans="1:198" x14ac:dyDescent="0.25">
      <c r="A40" s="334"/>
      <c r="R40" s="335"/>
      <c r="S40" s="154" t="s">
        <v>31</v>
      </c>
      <c r="T40" s="4" t="s">
        <v>24</v>
      </c>
      <c r="U40" s="157">
        <v>1</v>
      </c>
      <c r="V40" s="157">
        <f>'CycleRAP Model'!O21</f>
        <v>2</v>
      </c>
      <c r="W40" s="162" t="b">
        <f t="shared" si="52"/>
        <v>0</v>
      </c>
      <c r="X40" s="170"/>
      <c r="Y40" s="171"/>
      <c r="Z40" s="171"/>
      <c r="AA40" s="185"/>
      <c r="AB40" s="170"/>
      <c r="AC40" s="171"/>
      <c r="AD40" s="171"/>
      <c r="AE40" s="185"/>
      <c r="AF40" s="208"/>
      <c r="AG40" s="197"/>
      <c r="AH40" s="197"/>
      <c r="AI40" s="208"/>
      <c r="AJ40" s="197"/>
      <c r="AK40" s="197"/>
      <c r="AL40" s="197"/>
      <c r="AM40" s="197"/>
      <c r="AN40" s="197"/>
      <c r="AO40" s="197"/>
      <c r="AP40" s="197"/>
      <c r="AQ40" s="197"/>
      <c r="AR40" s="197"/>
      <c r="AS40" s="197"/>
      <c r="AT40" s="197"/>
      <c r="AU40" s="197"/>
      <c r="AV40" s="208"/>
      <c r="AW40" s="197"/>
      <c r="AX40" s="197"/>
      <c r="AY40" s="197"/>
      <c r="AZ40" s="197"/>
      <c r="BA40" s="197"/>
      <c r="BB40" s="197"/>
      <c r="BC40" s="197"/>
      <c r="BD40" s="197"/>
      <c r="BE40" s="197"/>
      <c r="BF40" s="197"/>
      <c r="BG40" s="197"/>
      <c r="BH40" s="197"/>
      <c r="BI40" s="197"/>
      <c r="BJ40" s="197"/>
      <c r="BK40" s="197"/>
      <c r="BL40" s="197"/>
      <c r="BM40" s="197"/>
      <c r="BN40" s="202" t="b">
        <v>1</v>
      </c>
      <c r="BO40" s="201" t="b">
        <v>1</v>
      </c>
      <c r="BP40" s="202" t="b">
        <v>1</v>
      </c>
      <c r="BQ40" s="197"/>
      <c r="BR40" s="197"/>
      <c r="BS40" s="197"/>
      <c r="BT40" s="197"/>
      <c r="BU40" s="197"/>
      <c r="BV40" s="197"/>
      <c r="BW40" s="197"/>
      <c r="BX40" s="197"/>
      <c r="BY40" s="197"/>
      <c r="BZ40" s="197"/>
      <c r="CA40" s="197"/>
      <c r="CB40" s="197"/>
      <c r="CC40" s="197"/>
      <c r="CD40" s="197"/>
      <c r="CE40" s="197"/>
      <c r="CF40" s="197"/>
      <c r="CG40" s="197"/>
      <c r="CH40" s="197"/>
      <c r="CI40" s="197"/>
      <c r="CJ40" s="202" t="b">
        <v>1</v>
      </c>
      <c r="CK40" s="197"/>
      <c r="CL40" s="197"/>
      <c r="CM40" s="197"/>
      <c r="CN40" s="197"/>
      <c r="CO40" s="197"/>
      <c r="CP40" s="197"/>
      <c r="CQ40" s="197"/>
      <c r="CR40" s="197"/>
      <c r="CS40" s="197"/>
      <c r="CT40" s="197"/>
      <c r="CU40" s="197"/>
      <c r="CV40" s="197"/>
      <c r="CW40" s="197"/>
      <c r="CX40" s="197"/>
      <c r="CY40" s="197"/>
      <c r="CZ40" s="197"/>
      <c r="DA40" s="197"/>
      <c r="DB40" s="197"/>
      <c r="DC40" s="197"/>
      <c r="DD40" s="197"/>
      <c r="DE40" s="197"/>
      <c r="DF40" s="197"/>
      <c r="DG40" s="197"/>
      <c r="DH40" s="197"/>
      <c r="DI40" s="197"/>
      <c r="DJ40" s="197"/>
      <c r="DK40" s="197"/>
      <c r="DL40" s="197"/>
      <c r="DM40" s="197"/>
      <c r="DN40" s="197"/>
      <c r="DO40" s="197"/>
      <c r="DP40" s="197"/>
      <c r="DQ40" s="197"/>
      <c r="DR40" s="197"/>
      <c r="DS40" s="197"/>
      <c r="DT40" s="197"/>
      <c r="DU40" s="197"/>
      <c r="DV40" s="197"/>
      <c r="DW40" s="197"/>
      <c r="DX40" s="197"/>
      <c r="EB40" s="335"/>
      <c r="EF40" s="29" t="str">
        <f>'CycleRAP Model'!K39</f>
        <v>Curvature</v>
      </c>
      <c r="EG40">
        <f>'CycleRAP Model'!O39</f>
        <v>2</v>
      </c>
      <c r="EH40" s="335"/>
      <c r="GP40" s="335"/>
    </row>
    <row r="41" spans="1:198" x14ac:dyDescent="0.25">
      <c r="A41" s="334"/>
      <c r="R41" s="335"/>
      <c r="S41" s="155" t="str">
        <f>S40</f>
        <v>Fixed obstacle on facility</v>
      </c>
      <c r="T41" t="s">
        <v>22</v>
      </c>
      <c r="U41">
        <v>2</v>
      </c>
      <c r="V41">
        <f>'CycleRAP Model'!O21</f>
        <v>2</v>
      </c>
      <c r="W41" s="158" t="b">
        <f t="shared" si="52"/>
        <v>1</v>
      </c>
      <c r="X41" s="163"/>
      <c r="Y41" s="166"/>
      <c r="Z41" s="166"/>
      <c r="AA41" s="184"/>
      <c r="AB41" s="163"/>
      <c r="AC41" s="166"/>
      <c r="AD41" s="166"/>
      <c r="AE41" s="184"/>
      <c r="AF41" s="206"/>
      <c r="AG41" s="195"/>
      <c r="AH41" s="195"/>
      <c r="AI41" s="206"/>
      <c r="AJ41" s="195"/>
      <c r="AK41" s="195"/>
      <c r="AL41" s="195"/>
      <c r="AM41" s="195"/>
      <c r="AN41" s="195"/>
      <c r="AO41" s="195"/>
      <c r="AP41" s="195"/>
      <c r="AQ41" s="195"/>
      <c r="AR41" s="195"/>
      <c r="AS41" s="195"/>
      <c r="AT41" s="195"/>
      <c r="AU41" s="195"/>
      <c r="AV41" s="206"/>
      <c r="AW41" s="195"/>
      <c r="AX41" s="195"/>
      <c r="AY41" s="195"/>
      <c r="AZ41" s="195"/>
      <c r="BA41" s="195"/>
      <c r="BB41" s="195"/>
      <c r="BC41" s="195"/>
      <c r="BD41" s="195"/>
      <c r="BE41" s="195"/>
      <c r="BF41" s="195"/>
      <c r="BG41" s="195"/>
      <c r="BH41" s="195"/>
      <c r="BI41" s="195"/>
      <c r="BJ41" s="195"/>
      <c r="BK41" s="195"/>
      <c r="BL41" s="195"/>
      <c r="BM41" s="195"/>
      <c r="BN41" s="195"/>
      <c r="BO41" s="195"/>
      <c r="BP41" s="195"/>
      <c r="BQ41" s="195"/>
      <c r="BR41" s="195"/>
      <c r="BS41" s="195"/>
      <c r="BT41" s="195"/>
      <c r="BU41" s="195"/>
      <c r="BV41" s="195"/>
      <c r="BW41" s="195"/>
      <c r="BX41" s="195"/>
      <c r="BY41" s="195"/>
      <c r="BZ41" s="195"/>
      <c r="CA41" s="195"/>
      <c r="CB41" s="195"/>
      <c r="CC41" s="195"/>
      <c r="CD41" s="195"/>
      <c r="CE41" s="195"/>
      <c r="CF41" s="195"/>
      <c r="CG41" s="195"/>
      <c r="CH41" s="195"/>
      <c r="CI41" s="195"/>
      <c r="CJ41" s="195"/>
      <c r="CK41" s="195"/>
      <c r="CL41" s="195"/>
      <c r="CM41" s="195"/>
      <c r="CN41" s="195"/>
      <c r="CO41" s="195"/>
      <c r="CP41" s="195"/>
      <c r="CQ41" s="195"/>
      <c r="CR41" s="195"/>
      <c r="CS41" s="195"/>
      <c r="CT41" s="195"/>
      <c r="CU41" s="195"/>
      <c r="CV41" s="195"/>
      <c r="CW41" s="195"/>
      <c r="CX41" s="195"/>
      <c r="CY41" s="195"/>
      <c r="CZ41" s="195"/>
      <c r="DA41" s="195"/>
      <c r="DB41" s="195"/>
      <c r="DC41" s="195"/>
      <c r="DD41" s="195"/>
      <c r="DE41" s="195"/>
      <c r="DF41" s="195"/>
      <c r="DG41" s="195"/>
      <c r="DH41" s="195"/>
      <c r="DI41" s="195"/>
      <c r="DJ41" s="195"/>
      <c r="DK41" s="195"/>
      <c r="DL41" s="195"/>
      <c r="DM41" s="195"/>
      <c r="DN41" s="195"/>
      <c r="DO41" s="195"/>
      <c r="DP41" s="195"/>
      <c r="DQ41" s="195"/>
      <c r="DR41" s="195"/>
      <c r="DS41" s="195"/>
      <c r="DT41" s="195"/>
      <c r="DU41" s="195"/>
      <c r="DV41" s="195"/>
      <c r="DW41" s="195"/>
      <c r="DX41" s="195"/>
      <c r="EB41" s="335"/>
      <c r="EF41" s="29" t="str">
        <f>'CycleRAP Model'!K40</f>
        <v>Street lighting</v>
      </c>
      <c r="EG41">
        <f>'CycleRAP Model'!O40</f>
        <v>1</v>
      </c>
      <c r="EH41" s="335"/>
      <c r="GP41" s="335"/>
    </row>
    <row r="42" spans="1:198" x14ac:dyDescent="0.25">
      <c r="R42" s="335"/>
      <c r="S42" s="154" t="s">
        <v>33</v>
      </c>
      <c r="T42" s="4" t="s">
        <v>24</v>
      </c>
      <c r="U42" s="157">
        <v>1</v>
      </c>
      <c r="V42" s="157">
        <f>'CycleRAP Model'!O22</f>
        <v>2</v>
      </c>
      <c r="W42" s="162" t="b">
        <f t="shared" si="52"/>
        <v>0</v>
      </c>
      <c r="X42" s="170"/>
      <c r="Y42" s="171"/>
      <c r="Z42" s="171"/>
      <c r="AA42" s="185"/>
      <c r="AB42" s="170"/>
      <c r="AC42" s="171"/>
      <c r="AD42" s="171"/>
      <c r="AE42" s="185"/>
      <c r="AF42" s="208"/>
      <c r="AG42" s="197"/>
      <c r="AH42" s="197"/>
      <c r="AI42" s="208"/>
      <c r="AJ42" s="197"/>
      <c r="AK42" s="197"/>
      <c r="AL42" s="197"/>
      <c r="AM42" s="197"/>
      <c r="AN42" s="197"/>
      <c r="AO42" s="197"/>
      <c r="AP42" s="197"/>
      <c r="AQ42" s="197"/>
      <c r="AR42" s="197"/>
      <c r="AS42" s="197"/>
      <c r="AT42" s="197"/>
      <c r="AU42" s="197"/>
      <c r="AV42" s="208"/>
      <c r="AW42" s="197"/>
      <c r="AX42" s="197"/>
      <c r="AY42" s="197"/>
      <c r="AZ42" s="197"/>
      <c r="BA42" s="197"/>
      <c r="BB42" s="197"/>
      <c r="BC42" s="197"/>
      <c r="BD42" s="197"/>
      <c r="BE42" s="197"/>
      <c r="BF42" s="197"/>
      <c r="BG42" s="197"/>
      <c r="BH42" s="197"/>
      <c r="BI42" s="197"/>
      <c r="BJ42" s="197"/>
      <c r="BK42" s="197"/>
      <c r="BL42" s="197"/>
      <c r="BM42" s="197"/>
      <c r="BN42" s="197"/>
      <c r="BO42" s="197"/>
      <c r="BP42" s="197"/>
      <c r="BQ42" s="201" t="b">
        <v>1</v>
      </c>
      <c r="BR42" s="201" t="b">
        <v>1</v>
      </c>
      <c r="BS42" s="202" t="b">
        <v>1</v>
      </c>
      <c r="BT42" s="197"/>
      <c r="BU42" s="197"/>
      <c r="BV42" s="197"/>
      <c r="BW42" s="197"/>
      <c r="BX42" s="197"/>
      <c r="BY42" s="197"/>
      <c r="BZ42" s="197"/>
      <c r="CA42" s="197"/>
      <c r="CB42" s="197"/>
      <c r="CC42" s="197"/>
      <c r="CD42" s="197"/>
      <c r="CE42" s="197"/>
      <c r="CF42" s="197"/>
      <c r="CG42" s="197"/>
      <c r="CH42" s="197"/>
      <c r="CI42" s="202" t="b">
        <v>1</v>
      </c>
      <c r="CJ42" s="197"/>
      <c r="CK42" s="197"/>
      <c r="CL42" s="197"/>
      <c r="CM42" s="197"/>
      <c r="CN42" s="197"/>
      <c r="CO42" s="197"/>
      <c r="CP42" s="197"/>
      <c r="CQ42" s="197"/>
      <c r="CR42" s="197"/>
      <c r="CS42" s="197"/>
      <c r="CT42" s="197"/>
      <c r="CU42" s="197"/>
      <c r="CV42" s="197"/>
      <c r="CW42" s="197"/>
      <c r="CX42" s="197"/>
      <c r="CY42" s="197"/>
      <c r="CZ42" s="197"/>
      <c r="DA42" s="197"/>
      <c r="DB42" s="197"/>
      <c r="DC42" s="197"/>
      <c r="DD42" s="197"/>
      <c r="DE42" s="197"/>
      <c r="DF42" s="197"/>
      <c r="DG42" s="197"/>
      <c r="DH42" s="197"/>
      <c r="DI42" s="197"/>
      <c r="DJ42" s="197"/>
      <c r="DK42" s="197"/>
      <c r="DL42" s="197"/>
      <c r="DM42" s="197"/>
      <c r="DN42" s="197"/>
      <c r="DO42" s="197"/>
      <c r="DP42" s="197"/>
      <c r="DQ42" s="197"/>
      <c r="DR42" s="197"/>
      <c r="DS42" s="197"/>
      <c r="DT42" s="197"/>
      <c r="DU42" s="197"/>
      <c r="DV42" s="197"/>
      <c r="DW42" s="197"/>
      <c r="DX42" s="197"/>
      <c r="EB42" s="335"/>
      <c r="EF42" s="29" t="str">
        <f>'CycleRAP Model'!K41</f>
        <v>Pedestrian crossing</v>
      </c>
      <c r="EG42">
        <f>'CycleRAP Model'!O41</f>
        <v>2</v>
      </c>
      <c r="EH42" s="335"/>
      <c r="GP42" s="335"/>
    </row>
    <row r="43" spans="1:198" x14ac:dyDescent="0.25">
      <c r="R43" s="335"/>
      <c r="S43" s="155" t="str">
        <f>S42</f>
        <v>Non-fixed obstacle on facility</v>
      </c>
      <c r="T43" t="s">
        <v>22</v>
      </c>
      <c r="U43">
        <v>2</v>
      </c>
      <c r="V43">
        <f>'CycleRAP Model'!O22</f>
        <v>2</v>
      </c>
      <c r="W43" s="158" t="b">
        <f t="shared" si="52"/>
        <v>1</v>
      </c>
      <c r="X43" s="163"/>
      <c r="Y43" s="166"/>
      <c r="Z43" s="166"/>
      <c r="AA43" s="184"/>
      <c r="AB43" s="163"/>
      <c r="AC43" s="166"/>
      <c r="AD43" s="166"/>
      <c r="AE43" s="184"/>
      <c r="AF43" s="206"/>
      <c r="AG43" s="195"/>
      <c r="AH43" s="195"/>
      <c r="AI43" s="206"/>
      <c r="AJ43" s="195"/>
      <c r="AK43" s="195"/>
      <c r="AL43" s="195"/>
      <c r="AM43" s="195"/>
      <c r="AN43" s="195"/>
      <c r="AO43" s="195"/>
      <c r="AP43" s="195"/>
      <c r="AQ43" s="195"/>
      <c r="AR43" s="195"/>
      <c r="AS43" s="195"/>
      <c r="AT43" s="195"/>
      <c r="AU43" s="195"/>
      <c r="AV43" s="206"/>
      <c r="AW43" s="195"/>
      <c r="AX43" s="195"/>
      <c r="AY43" s="195"/>
      <c r="AZ43" s="195"/>
      <c r="BA43" s="195"/>
      <c r="BB43" s="195"/>
      <c r="BC43" s="195"/>
      <c r="BD43" s="195"/>
      <c r="BE43" s="195"/>
      <c r="BF43" s="195"/>
      <c r="BG43" s="195"/>
      <c r="BH43" s="195"/>
      <c r="BI43" s="195"/>
      <c r="BJ43" s="195"/>
      <c r="BK43" s="195"/>
      <c r="BL43" s="195"/>
      <c r="BM43" s="195"/>
      <c r="BN43" s="195"/>
      <c r="BO43" s="195"/>
      <c r="BP43" s="195"/>
      <c r="BQ43" s="195"/>
      <c r="BR43" s="195"/>
      <c r="BS43" s="195"/>
      <c r="BT43" s="195"/>
      <c r="BU43" s="195"/>
      <c r="BV43" s="195"/>
      <c r="BW43" s="195"/>
      <c r="BX43" s="195"/>
      <c r="BY43" s="195"/>
      <c r="BZ43" s="195"/>
      <c r="CA43" s="195"/>
      <c r="CB43" s="195"/>
      <c r="CC43" s="195"/>
      <c r="CD43" s="195"/>
      <c r="CE43" s="195"/>
      <c r="CF43" s="195"/>
      <c r="CG43" s="195"/>
      <c r="CH43" s="195"/>
      <c r="CI43" s="195"/>
      <c r="CJ43" s="195"/>
      <c r="CK43" s="195"/>
      <c r="CL43" s="195"/>
      <c r="CM43" s="195"/>
      <c r="CN43" s="195"/>
      <c r="CO43" s="195"/>
      <c r="CP43" s="195"/>
      <c r="CQ43" s="195"/>
      <c r="CR43" s="195"/>
      <c r="CS43" s="195"/>
      <c r="CT43" s="195"/>
      <c r="CU43" s="195"/>
      <c r="CV43" s="195"/>
      <c r="CW43" s="195"/>
      <c r="CX43" s="195"/>
      <c r="CY43" s="195"/>
      <c r="CZ43" s="195"/>
      <c r="DA43" s="195"/>
      <c r="DB43" s="195"/>
      <c r="DC43" s="195"/>
      <c r="DD43" s="195"/>
      <c r="DE43" s="195"/>
      <c r="DF43" s="195"/>
      <c r="DG43" s="195"/>
      <c r="DH43" s="195"/>
      <c r="DI43" s="195"/>
      <c r="DJ43" s="195"/>
      <c r="DK43" s="195"/>
      <c r="DL43" s="195"/>
      <c r="DM43" s="195"/>
      <c r="DN43" s="195"/>
      <c r="DO43" s="195"/>
      <c r="DP43" s="195"/>
      <c r="DQ43" s="195"/>
      <c r="DR43" s="195"/>
      <c r="DS43" s="195"/>
      <c r="DT43" s="195"/>
      <c r="DU43" s="195"/>
      <c r="DV43" s="195"/>
      <c r="DW43" s="195"/>
      <c r="DX43" s="195"/>
      <c r="EB43" s="335"/>
      <c r="EF43" s="29" t="str">
        <f>'CycleRAP Model'!K42</f>
        <v>Intersecting bicycle facility</v>
      </c>
      <c r="EG43">
        <f>'CycleRAP Model'!O42</f>
        <v>2</v>
      </c>
      <c r="EH43" s="335"/>
      <c r="GP43" s="335"/>
    </row>
    <row r="44" spans="1:198" x14ac:dyDescent="0.25">
      <c r="R44" s="335"/>
      <c r="S44" s="154" t="s">
        <v>35</v>
      </c>
      <c r="T44" s="4" t="s">
        <v>24</v>
      </c>
      <c r="U44" s="157">
        <v>1</v>
      </c>
      <c r="V44" s="157">
        <f>'CycleRAP Model'!O23</f>
        <v>2</v>
      </c>
      <c r="W44" s="162" t="b">
        <f t="shared" si="52"/>
        <v>0</v>
      </c>
      <c r="X44" s="170"/>
      <c r="Y44" s="171"/>
      <c r="Z44" s="171"/>
      <c r="AA44" s="185"/>
      <c r="AB44" s="170"/>
      <c r="AC44" s="171"/>
      <c r="AD44" s="171"/>
      <c r="AE44" s="185"/>
      <c r="AF44" s="208"/>
      <c r="AG44" s="197"/>
      <c r="AH44" s="197"/>
      <c r="AI44" s="208"/>
      <c r="AJ44" s="197"/>
      <c r="AK44" s="197"/>
      <c r="AL44" s="197"/>
      <c r="AM44" s="197"/>
      <c r="AN44" s="197"/>
      <c r="AO44" s="197"/>
      <c r="AP44" s="197"/>
      <c r="AQ44" s="197"/>
      <c r="AR44" s="197"/>
      <c r="AS44" s="197"/>
      <c r="AT44" s="197"/>
      <c r="AU44" s="197"/>
      <c r="AV44" s="208"/>
      <c r="AW44" s="197"/>
      <c r="AX44" s="197"/>
      <c r="AY44" s="197"/>
      <c r="AZ44" s="197"/>
      <c r="BA44" s="197"/>
      <c r="BB44" s="197"/>
      <c r="BC44" s="197"/>
      <c r="BD44" s="197"/>
      <c r="BE44" s="197"/>
      <c r="BF44" s="197"/>
      <c r="BG44" s="197"/>
      <c r="BH44" s="197"/>
      <c r="BI44" s="197"/>
      <c r="BJ44" s="197"/>
      <c r="BK44" s="197"/>
      <c r="BL44" s="197"/>
      <c r="BM44" s="197"/>
      <c r="BN44" s="197"/>
      <c r="BO44" s="197"/>
      <c r="BP44" s="197"/>
      <c r="BQ44" s="197"/>
      <c r="BR44" s="197"/>
      <c r="BS44" s="197"/>
      <c r="BT44" s="197"/>
      <c r="BU44" s="197"/>
      <c r="BV44" s="197"/>
      <c r="BW44" s="197"/>
      <c r="BX44" s="197"/>
      <c r="BY44" s="197"/>
      <c r="BZ44" s="197"/>
      <c r="CA44" s="197"/>
      <c r="CB44" s="197"/>
      <c r="CC44" s="197"/>
      <c r="CD44" s="197"/>
      <c r="CE44" s="197"/>
      <c r="CF44" s="197"/>
      <c r="CG44" s="197"/>
      <c r="CH44" s="197"/>
      <c r="CI44" s="197"/>
      <c r="CJ44" s="197"/>
      <c r="CK44" s="197"/>
      <c r="CL44" s="197"/>
      <c r="CM44" s="197"/>
      <c r="CN44" s="197"/>
      <c r="CO44" s="197"/>
      <c r="CP44" s="197"/>
      <c r="CQ44" s="197"/>
      <c r="CR44" s="197"/>
      <c r="CS44" s="197"/>
      <c r="CT44" s="197"/>
      <c r="CU44" s="197"/>
      <c r="CV44" s="197"/>
      <c r="CW44" s="197"/>
      <c r="CX44" s="197"/>
      <c r="CY44" s="197"/>
      <c r="CZ44" s="197"/>
      <c r="DA44" s="197"/>
      <c r="DB44" s="197"/>
      <c r="DC44" s="197"/>
      <c r="DD44" s="197"/>
      <c r="DE44" s="197"/>
      <c r="DF44" s="197"/>
      <c r="DG44" s="197"/>
      <c r="DH44" s="197"/>
      <c r="DI44" s="197"/>
      <c r="DJ44" s="197"/>
      <c r="DK44" s="197"/>
      <c r="DL44" s="197"/>
      <c r="DM44" s="197"/>
      <c r="DN44" s="197"/>
      <c r="DO44" s="197"/>
      <c r="DP44" s="197"/>
      <c r="DQ44" s="197"/>
      <c r="DR44" s="197"/>
      <c r="DS44" s="197"/>
      <c r="DT44" s="197"/>
      <c r="DU44" s="197"/>
      <c r="DV44" s="197"/>
      <c r="DW44" s="197"/>
      <c r="DX44" s="197"/>
      <c r="EB44" s="335"/>
      <c r="EF44" s="29" t="str">
        <f>'CycleRAP Model'!K43</f>
        <v>Intersection approach</v>
      </c>
      <c r="EG44">
        <f>'CycleRAP Model'!O43</f>
        <v>2</v>
      </c>
      <c r="EH44" s="335"/>
      <c r="GP44" s="335"/>
    </row>
    <row r="45" spans="1:198" x14ac:dyDescent="0.25">
      <c r="R45" s="335"/>
      <c r="S45" s="155" t="str">
        <f>S44</f>
        <v>Delineation</v>
      </c>
      <c r="T45" t="s">
        <v>22</v>
      </c>
      <c r="U45">
        <v>2</v>
      </c>
      <c r="V45">
        <f>'CycleRAP Model'!O23</f>
        <v>2</v>
      </c>
      <c r="W45" s="158" t="b">
        <f t="shared" si="52"/>
        <v>1</v>
      </c>
      <c r="X45" s="163"/>
      <c r="Y45" s="166"/>
      <c r="Z45" s="166"/>
      <c r="AA45" s="184"/>
      <c r="AB45" s="163"/>
      <c r="AC45" s="166"/>
      <c r="AD45" s="166"/>
      <c r="AE45" s="184"/>
      <c r="AF45" s="206"/>
      <c r="AG45" s="195"/>
      <c r="AH45" s="195"/>
      <c r="AI45" s="206"/>
      <c r="AJ45" s="195"/>
      <c r="AK45" s="195"/>
      <c r="AL45" s="195"/>
      <c r="AM45" s="195"/>
      <c r="AN45" s="195"/>
      <c r="AO45" s="195"/>
      <c r="AP45" s="195"/>
      <c r="AQ45" s="195"/>
      <c r="AR45" s="195"/>
      <c r="AS45" s="195"/>
      <c r="AT45" s="195"/>
      <c r="AU45" s="195"/>
      <c r="AV45" s="206"/>
      <c r="AW45" s="195"/>
      <c r="AX45" s="195"/>
      <c r="AY45" s="195"/>
      <c r="AZ45" s="195"/>
      <c r="BA45" s="195"/>
      <c r="BB45" s="195"/>
      <c r="BC45" s="195"/>
      <c r="BD45" s="195"/>
      <c r="BE45" s="195"/>
      <c r="BF45" s="195"/>
      <c r="BG45" s="195"/>
      <c r="BH45" s="198"/>
      <c r="BI45" s="198"/>
      <c r="BJ45" s="198"/>
      <c r="BK45" s="198"/>
      <c r="BL45" s="198"/>
      <c r="BM45" s="198"/>
      <c r="BN45" s="195"/>
      <c r="BO45" s="195"/>
      <c r="BP45" s="195"/>
      <c r="BQ45" s="195"/>
      <c r="BR45" s="195"/>
      <c r="BS45" s="195"/>
      <c r="BT45" s="195"/>
      <c r="BU45" s="195"/>
      <c r="BV45" s="195"/>
      <c r="BW45" s="195"/>
      <c r="BX45" s="195"/>
      <c r="BY45" s="195"/>
      <c r="BZ45" s="195"/>
      <c r="CA45" s="195"/>
      <c r="CB45" s="195"/>
      <c r="CC45" s="195"/>
      <c r="CD45" s="195"/>
      <c r="CE45" s="195"/>
      <c r="CF45" s="195"/>
      <c r="CG45" s="195"/>
      <c r="CH45" s="195"/>
      <c r="CI45" s="195"/>
      <c r="CJ45" s="195"/>
      <c r="CK45" s="195"/>
      <c r="CL45" s="195"/>
      <c r="CM45" s="195"/>
      <c r="CN45" s="195"/>
      <c r="CO45" s="201" t="b">
        <v>1</v>
      </c>
      <c r="CP45" s="201" t="b">
        <v>1</v>
      </c>
      <c r="CQ45" s="201" t="b">
        <v>1</v>
      </c>
      <c r="CR45" s="201" t="b">
        <v>1</v>
      </c>
      <c r="CS45" s="195"/>
      <c r="CT45" s="195"/>
      <c r="CU45" s="195"/>
      <c r="CV45" s="195"/>
      <c r="CW45" s="195"/>
      <c r="CX45" s="195"/>
      <c r="CY45" s="195"/>
      <c r="CZ45" s="195"/>
      <c r="DA45" s="195"/>
      <c r="DB45" s="195"/>
      <c r="DC45" s="195"/>
      <c r="DD45" s="195"/>
      <c r="DE45" s="195"/>
      <c r="DF45" s="195"/>
      <c r="DG45" s="195"/>
      <c r="DH45" s="195"/>
      <c r="DI45" s="195"/>
      <c r="DJ45" s="195"/>
      <c r="DK45" s="195"/>
      <c r="DL45" s="195"/>
      <c r="DM45" s="195"/>
      <c r="DN45" s="195"/>
      <c r="DO45" s="195"/>
      <c r="DP45" s="195"/>
      <c r="DQ45" s="195"/>
      <c r="DR45" s="195"/>
      <c r="DS45" s="195"/>
      <c r="DT45" s="195"/>
      <c r="DU45" s="195"/>
      <c r="DV45" s="195"/>
      <c r="DW45" s="195"/>
      <c r="DX45" s="195"/>
      <c r="EB45" s="335"/>
      <c r="EF45" s="29" t="str">
        <f>'CycleRAP Model'!K44</f>
        <v>Intersection or road crossing</v>
      </c>
      <c r="EG45">
        <f>'CycleRAP Model'!O44</f>
        <v>2</v>
      </c>
      <c r="EH45" s="335"/>
      <c r="GP45" s="335"/>
    </row>
    <row r="46" spans="1:198" x14ac:dyDescent="0.25">
      <c r="R46" s="335"/>
      <c r="S46" s="154" t="s">
        <v>38</v>
      </c>
      <c r="T46" s="4" t="s">
        <v>24</v>
      </c>
      <c r="U46" s="157">
        <v>1</v>
      </c>
      <c r="V46" s="157">
        <f>'CycleRAP Model'!O24</f>
        <v>1</v>
      </c>
      <c r="W46" s="162" t="b">
        <f t="shared" si="52"/>
        <v>1</v>
      </c>
      <c r="X46" s="170"/>
      <c r="Y46" s="171"/>
      <c r="Z46" s="171"/>
      <c r="AA46" s="185"/>
      <c r="AB46" s="170"/>
      <c r="AC46" s="171"/>
      <c r="AD46" s="171"/>
      <c r="AE46" s="185"/>
      <c r="AF46" s="208"/>
      <c r="AG46" s="197"/>
      <c r="AH46" s="197"/>
      <c r="AI46" s="208"/>
      <c r="AJ46" s="197"/>
      <c r="AK46" s="197"/>
      <c r="AL46" s="197"/>
      <c r="AM46" s="197"/>
      <c r="AN46" s="197"/>
      <c r="AO46" s="197"/>
      <c r="AP46" s="197"/>
      <c r="AQ46" s="197"/>
      <c r="AR46" s="197"/>
      <c r="AS46" s="197"/>
      <c r="AT46" s="197"/>
      <c r="AU46" s="197"/>
      <c r="AV46" s="208"/>
      <c r="AW46" s="197"/>
      <c r="AX46" s="197"/>
      <c r="AY46" s="197"/>
      <c r="AZ46" s="197"/>
      <c r="BA46" s="197"/>
      <c r="BB46" s="197"/>
      <c r="BC46" s="197"/>
      <c r="BD46" s="197"/>
      <c r="BE46" s="197"/>
      <c r="BF46" s="197"/>
      <c r="BG46" s="197"/>
      <c r="BH46" s="195"/>
      <c r="BI46" s="195"/>
      <c r="BJ46" s="195"/>
      <c r="BK46" s="195"/>
      <c r="BL46" s="195"/>
      <c r="BM46" s="195"/>
      <c r="BN46" s="197"/>
      <c r="BO46" s="197"/>
      <c r="BP46" s="197"/>
      <c r="BQ46" s="197"/>
      <c r="BR46" s="197"/>
      <c r="BS46" s="197"/>
      <c r="BT46" s="197"/>
      <c r="BU46" s="197"/>
      <c r="BV46" s="197"/>
      <c r="BW46" s="197"/>
      <c r="BX46" s="197"/>
      <c r="BY46" s="197"/>
      <c r="BZ46" s="197"/>
      <c r="CA46" s="197"/>
      <c r="CB46" s="197"/>
      <c r="CC46" s="197"/>
      <c r="CD46" s="197"/>
      <c r="CE46" s="197"/>
      <c r="CF46" s="197"/>
      <c r="CG46" s="197"/>
      <c r="CH46" s="197"/>
      <c r="CI46" s="197"/>
      <c r="CJ46" s="197"/>
      <c r="CK46" s="197"/>
      <c r="CL46" s="197"/>
      <c r="CM46" s="197"/>
      <c r="CN46" s="197"/>
      <c r="CO46" s="197"/>
      <c r="CP46" s="197"/>
      <c r="CQ46" s="197"/>
      <c r="CR46" s="197"/>
      <c r="CS46" s="197"/>
      <c r="CT46" s="197"/>
      <c r="CU46" s="197"/>
      <c r="CV46" s="197"/>
      <c r="CW46" s="197"/>
      <c r="CX46" s="197"/>
      <c r="CY46" s="197"/>
      <c r="CZ46" s="197"/>
      <c r="DA46" s="197"/>
      <c r="DB46" s="197"/>
      <c r="DC46" s="197"/>
      <c r="DD46" s="197"/>
      <c r="DE46" s="197"/>
      <c r="DF46" s="197"/>
      <c r="DG46" s="197"/>
      <c r="DH46" s="197"/>
      <c r="DI46" s="197"/>
      <c r="DJ46" s="197"/>
      <c r="DK46" s="197"/>
      <c r="DL46" s="197"/>
      <c r="DM46" s="197"/>
      <c r="DN46" s="197"/>
      <c r="DO46" s="197"/>
      <c r="DP46" s="197"/>
      <c r="DQ46" s="197"/>
      <c r="DR46" s="197"/>
      <c r="DS46" s="197"/>
      <c r="DT46" s="197"/>
      <c r="DU46" s="197"/>
      <c r="DV46" s="197"/>
      <c r="DW46" s="197"/>
      <c r="DX46" s="197"/>
      <c r="EB46" s="335"/>
      <c r="EF46" s="29" t="str">
        <f>'CycleRAP Model'!K45</f>
        <v>Crossing facility</v>
      </c>
      <c r="EG46">
        <f>'CycleRAP Model'!O45</f>
        <v>2</v>
      </c>
      <c r="EH46" s="335"/>
      <c r="GP46" s="335"/>
    </row>
    <row r="47" spans="1:198" x14ac:dyDescent="0.25">
      <c r="R47" s="335"/>
      <c r="S47" s="155" t="str">
        <f>S46</f>
        <v>Light segregation</v>
      </c>
      <c r="T47" t="s">
        <v>22</v>
      </c>
      <c r="U47">
        <v>2</v>
      </c>
      <c r="V47">
        <f>'CycleRAP Model'!O24</f>
        <v>1</v>
      </c>
      <c r="W47" s="158" t="b">
        <f t="shared" si="52"/>
        <v>0</v>
      </c>
      <c r="X47" s="175" t="b">
        <v>1</v>
      </c>
      <c r="Y47" s="175" t="b">
        <v>1</v>
      </c>
      <c r="Z47" s="173"/>
      <c r="AA47" s="188"/>
      <c r="AB47" s="175" t="b">
        <v>1</v>
      </c>
      <c r="AC47" s="175" t="b">
        <v>1</v>
      </c>
      <c r="AD47" s="173"/>
      <c r="AE47" s="188"/>
      <c r="AF47" s="209"/>
      <c r="AG47" s="198"/>
      <c r="AH47" s="198"/>
      <c r="AI47" s="209"/>
      <c r="AJ47" s="198"/>
      <c r="AK47" s="198"/>
      <c r="AL47" s="198"/>
      <c r="AM47" s="198"/>
      <c r="AN47" s="198"/>
      <c r="AO47" s="198"/>
      <c r="AP47" s="198"/>
      <c r="AQ47" s="198"/>
      <c r="AR47" s="198"/>
      <c r="AS47" s="198"/>
      <c r="AT47" s="198"/>
      <c r="AU47" s="198"/>
      <c r="AV47" s="209"/>
      <c r="AW47" s="198"/>
      <c r="AX47" s="198"/>
      <c r="AY47" s="198"/>
      <c r="AZ47" s="198"/>
      <c r="BA47" s="198"/>
      <c r="BB47" s="198"/>
      <c r="BC47" s="198"/>
      <c r="BD47" s="200" t="b">
        <v>1</v>
      </c>
      <c r="BE47" s="247" t="b">
        <v>1</v>
      </c>
      <c r="BF47" s="200" t="b">
        <v>1</v>
      </c>
      <c r="BG47" s="200" t="b">
        <v>1</v>
      </c>
      <c r="BH47" s="198"/>
      <c r="BI47" s="198"/>
      <c r="BJ47" s="198"/>
      <c r="BK47" s="198"/>
      <c r="BL47" s="198"/>
      <c r="BM47" s="198"/>
      <c r="BN47" s="198"/>
      <c r="BO47" s="198"/>
      <c r="BP47" s="198"/>
      <c r="BQ47" s="198"/>
      <c r="BR47" s="198"/>
      <c r="BS47" s="198"/>
      <c r="BT47" s="198"/>
      <c r="BU47" s="198"/>
      <c r="BV47" s="198"/>
      <c r="BW47" s="198"/>
      <c r="BX47" s="198"/>
      <c r="BY47" s="198"/>
      <c r="BZ47" s="198"/>
      <c r="CA47" s="198"/>
      <c r="CB47" s="198"/>
      <c r="CC47" s="198"/>
      <c r="CD47" s="198"/>
      <c r="CE47" s="198"/>
      <c r="CF47" s="198"/>
      <c r="CG47" s="198"/>
      <c r="CH47" s="201" t="b">
        <v>1</v>
      </c>
      <c r="CI47" s="198"/>
      <c r="CJ47" s="198"/>
      <c r="CK47" s="198"/>
      <c r="CL47" s="198"/>
      <c r="CM47" s="198"/>
      <c r="CN47" s="198"/>
      <c r="CO47" s="198"/>
      <c r="CP47" s="198"/>
      <c r="CQ47" s="198"/>
      <c r="CR47" s="198"/>
      <c r="CS47" s="198"/>
      <c r="CT47" s="198"/>
      <c r="CU47" s="198"/>
      <c r="CV47" s="198"/>
      <c r="CW47" s="198"/>
      <c r="CX47" s="198"/>
      <c r="CY47" s="198"/>
      <c r="CZ47" s="198"/>
      <c r="DA47" s="198"/>
      <c r="DB47" s="198"/>
      <c r="DC47" s="247" t="b">
        <v>1</v>
      </c>
      <c r="DD47" s="200" t="b">
        <v>1</v>
      </c>
      <c r="DE47" s="198"/>
      <c r="DF47" s="198"/>
      <c r="DG47" s="198"/>
      <c r="DH47" s="198"/>
      <c r="DI47" s="198"/>
      <c r="DJ47" s="200" t="b">
        <v>1</v>
      </c>
      <c r="DK47" s="198"/>
      <c r="DL47" s="198"/>
      <c r="DM47" s="198"/>
      <c r="DN47" s="200" t="b">
        <v>1</v>
      </c>
      <c r="DO47" s="198"/>
      <c r="DP47" s="198"/>
      <c r="DQ47" s="198"/>
      <c r="DR47" s="198"/>
      <c r="DS47" s="198"/>
      <c r="DT47" s="198"/>
      <c r="DU47" s="198"/>
      <c r="DV47" s="198"/>
      <c r="DW47" s="198"/>
      <c r="DX47" s="198"/>
      <c r="EB47" s="335"/>
      <c r="EF47" s="29" t="str">
        <f>'CycleRAP Model'!K46</f>
        <v>Number of lanes – adjacent road</v>
      </c>
      <c r="EG47">
        <f>'CycleRAP Model'!O46</f>
        <v>2</v>
      </c>
      <c r="EH47" s="335"/>
      <c r="GP47" s="335"/>
    </row>
    <row r="48" spans="1:198" x14ac:dyDescent="0.25">
      <c r="R48" s="335"/>
      <c r="S48" s="154" t="s">
        <v>40</v>
      </c>
      <c r="T48" s="239" t="s">
        <v>41</v>
      </c>
      <c r="U48" s="157">
        <v>1</v>
      </c>
      <c r="V48" s="157">
        <f>'CycleRAP Model'!O25</f>
        <v>1</v>
      </c>
      <c r="W48" s="162" t="b">
        <f t="shared" si="52"/>
        <v>1</v>
      </c>
      <c r="X48" s="166"/>
      <c r="Y48" s="163"/>
      <c r="Z48" s="163"/>
      <c r="AA48" s="181"/>
      <c r="AB48" s="166"/>
      <c r="AC48" s="163"/>
      <c r="AD48" s="163"/>
      <c r="AE48" s="181"/>
      <c r="AF48" s="206"/>
      <c r="AG48" s="195"/>
      <c r="AH48" s="195"/>
      <c r="AI48" s="206"/>
      <c r="AJ48" s="195"/>
      <c r="AK48" s="195"/>
      <c r="AL48" s="195"/>
      <c r="AM48" s="195"/>
      <c r="AN48" s="195"/>
      <c r="AO48" s="201" t="b">
        <v>1</v>
      </c>
      <c r="AP48" s="195"/>
      <c r="AQ48" s="195"/>
      <c r="AR48" s="195"/>
      <c r="AS48" s="195"/>
      <c r="AT48" s="195"/>
      <c r="AU48" s="195"/>
      <c r="AV48" s="212" t="b">
        <v>1</v>
      </c>
      <c r="AW48" s="248" t="b">
        <v>1</v>
      </c>
      <c r="AX48" s="248" t="b">
        <v>1</v>
      </c>
      <c r="AY48" s="195"/>
      <c r="AZ48" s="195"/>
      <c r="BA48" s="195"/>
      <c r="BB48" s="195"/>
      <c r="BC48" s="195"/>
      <c r="BD48" s="195"/>
      <c r="BE48" s="195"/>
      <c r="BF48" s="201" t="b">
        <v>1</v>
      </c>
      <c r="BG48" s="195"/>
      <c r="BH48" s="195"/>
      <c r="BI48" s="195"/>
      <c r="BJ48" s="195"/>
      <c r="BK48" s="195"/>
      <c r="BL48" s="195"/>
      <c r="BM48" s="195"/>
      <c r="BN48" s="201" t="b">
        <v>1</v>
      </c>
      <c r="BO48" s="197"/>
      <c r="BP48" s="197"/>
      <c r="BQ48" s="201" t="b">
        <v>1</v>
      </c>
      <c r="BR48" s="195"/>
      <c r="BS48" s="195"/>
      <c r="BT48" s="201" t="b">
        <v>1</v>
      </c>
      <c r="BU48" s="195"/>
      <c r="BV48" s="195"/>
      <c r="BW48" s="195"/>
      <c r="BX48" s="195"/>
      <c r="BY48" s="195"/>
      <c r="BZ48" s="195"/>
      <c r="CA48" s="195"/>
      <c r="CB48" s="195"/>
      <c r="CC48" s="195"/>
      <c r="CD48" s="201" t="b">
        <v>1</v>
      </c>
      <c r="CE48" s="201" t="b">
        <v>1</v>
      </c>
      <c r="CF48" s="201" t="b">
        <v>1</v>
      </c>
      <c r="CG48" s="201" t="b">
        <v>1</v>
      </c>
      <c r="CH48" s="202" t="b">
        <v>1</v>
      </c>
      <c r="CI48" s="202" t="b">
        <v>1</v>
      </c>
      <c r="CJ48" s="202" t="b">
        <v>1</v>
      </c>
      <c r="CK48" s="195"/>
      <c r="CL48" s="195"/>
      <c r="CM48" s="195"/>
      <c r="CN48" s="195"/>
      <c r="CO48" s="195"/>
      <c r="CP48" s="195"/>
      <c r="CQ48" s="201" t="b">
        <v>1</v>
      </c>
      <c r="CR48" s="195"/>
      <c r="CS48" s="195"/>
      <c r="CT48" s="195"/>
      <c r="CU48" s="195"/>
      <c r="CV48" s="195"/>
      <c r="CW48" s="195"/>
      <c r="CX48" s="195"/>
      <c r="CY48" s="195"/>
      <c r="CZ48" s="195"/>
      <c r="DA48" s="195"/>
      <c r="DB48" s="195"/>
      <c r="DC48" s="195"/>
      <c r="DD48" s="201" t="b">
        <v>1</v>
      </c>
      <c r="DE48" s="201" t="b">
        <v>1</v>
      </c>
      <c r="DF48" s="195"/>
      <c r="DG48" s="195"/>
      <c r="DH48" s="195"/>
      <c r="DI48" s="195"/>
      <c r="DJ48" s="195"/>
      <c r="DK48" s="195"/>
      <c r="DL48" s="195"/>
      <c r="DM48" s="195"/>
      <c r="DN48" s="195"/>
      <c r="DO48" s="195"/>
      <c r="DP48" s="195"/>
      <c r="DQ48" s="195"/>
      <c r="DR48" s="195"/>
      <c r="DS48" s="195"/>
      <c r="DT48" s="195"/>
      <c r="DU48" s="195"/>
      <c r="DV48" s="195"/>
      <c r="DW48" s="195"/>
      <c r="DX48" s="195"/>
      <c r="EB48" s="335"/>
      <c r="EF48" s="29" t="str">
        <f>'CycleRAP Model'!K47</f>
        <v>Number of lanes – intersecting road</v>
      </c>
      <c r="EG48">
        <f>'CycleRAP Model'!O47</f>
        <v>1</v>
      </c>
      <c r="EH48" s="335"/>
      <c r="GP48" s="335"/>
    </row>
    <row r="49" spans="18:198" x14ac:dyDescent="0.25">
      <c r="R49" s="335"/>
      <c r="S49" s="155" t="str">
        <f>S48</f>
        <v>Facility width per direction</v>
      </c>
      <c r="T49" s="242" t="s">
        <v>184</v>
      </c>
      <c r="U49">
        <v>2</v>
      </c>
      <c r="V49">
        <f>'CycleRAP Model'!O25</f>
        <v>1</v>
      </c>
      <c r="W49" s="158" t="b">
        <f t="shared" si="52"/>
        <v>0</v>
      </c>
      <c r="X49" s="163"/>
      <c r="Y49" s="166"/>
      <c r="Z49" s="166"/>
      <c r="AA49" s="184"/>
      <c r="AB49" s="163"/>
      <c r="AC49" s="166"/>
      <c r="AD49" s="166"/>
      <c r="AE49" s="184"/>
      <c r="AF49" s="206"/>
      <c r="AG49" s="195"/>
      <c r="AH49" s="195"/>
      <c r="AI49" s="206"/>
      <c r="AJ49" s="195"/>
      <c r="AK49" s="195"/>
      <c r="AL49" s="195"/>
      <c r="AM49" s="195"/>
      <c r="AN49" s="195"/>
      <c r="AO49" s="270" t="b">
        <v>1</v>
      </c>
      <c r="AP49" s="195"/>
      <c r="AQ49" s="195"/>
      <c r="AR49" s="195"/>
      <c r="AS49" s="195"/>
      <c r="AT49" s="195"/>
      <c r="AU49" s="195"/>
      <c r="AV49" s="269" t="b">
        <v>1</v>
      </c>
      <c r="AW49" s="269" t="b">
        <v>1</v>
      </c>
      <c r="AX49" s="269" t="b">
        <v>1</v>
      </c>
      <c r="AY49" s="195"/>
      <c r="AZ49" s="195"/>
      <c r="BA49" s="195"/>
      <c r="BB49" s="195"/>
      <c r="BC49" s="195"/>
      <c r="BD49" s="195"/>
      <c r="BE49" s="195"/>
      <c r="BF49" s="270" t="b">
        <v>1</v>
      </c>
      <c r="BG49" s="195"/>
      <c r="BH49" s="195"/>
      <c r="BI49" s="195"/>
      <c r="BJ49" s="195"/>
      <c r="BK49" s="195"/>
      <c r="BL49" s="195"/>
      <c r="BM49" s="195"/>
      <c r="BN49" s="270" t="b">
        <v>1</v>
      </c>
      <c r="BO49" s="195"/>
      <c r="BP49" s="195"/>
      <c r="BQ49" s="270" t="b">
        <v>1</v>
      </c>
      <c r="BR49" s="195"/>
      <c r="BS49" s="195"/>
      <c r="BT49" s="270" t="b">
        <v>1</v>
      </c>
      <c r="BU49" s="195"/>
      <c r="BV49" s="195"/>
      <c r="BW49" s="195"/>
      <c r="BX49" s="195"/>
      <c r="BY49" s="195"/>
      <c r="BZ49" s="195"/>
      <c r="CA49" s="195"/>
      <c r="CB49" s="195"/>
      <c r="CC49" s="195"/>
      <c r="CD49" s="270" t="b">
        <v>1</v>
      </c>
      <c r="CE49" s="270" t="b">
        <v>1</v>
      </c>
      <c r="CF49" s="270" t="b">
        <v>1</v>
      </c>
      <c r="CG49" s="270" t="b">
        <v>1</v>
      </c>
      <c r="CH49" s="270" t="b">
        <v>1</v>
      </c>
      <c r="CI49" s="270" t="b">
        <v>1</v>
      </c>
      <c r="CJ49" s="270" t="b">
        <v>1</v>
      </c>
      <c r="CK49" s="195"/>
      <c r="CL49" s="195"/>
      <c r="CM49" s="195"/>
      <c r="CN49" s="195"/>
      <c r="CO49" s="195"/>
      <c r="CP49" s="195"/>
      <c r="CQ49" s="270" t="b">
        <v>1</v>
      </c>
      <c r="CR49" s="195"/>
      <c r="CS49" s="195"/>
      <c r="CT49" s="195"/>
      <c r="CU49" s="195"/>
      <c r="CV49" s="195"/>
      <c r="CW49" s="195"/>
      <c r="CX49" s="195"/>
      <c r="CY49" s="195"/>
      <c r="CZ49" s="195"/>
      <c r="DA49" s="195"/>
      <c r="DB49" s="195"/>
      <c r="DC49" s="195"/>
      <c r="DD49" s="270" t="b">
        <v>1</v>
      </c>
      <c r="DE49" s="270" t="b">
        <v>1</v>
      </c>
      <c r="DF49" s="195"/>
      <c r="DG49" s="195"/>
      <c r="DH49" s="195"/>
      <c r="DI49" s="195"/>
      <c r="DJ49" s="195"/>
      <c r="DK49" s="195"/>
      <c r="DL49" s="195"/>
      <c r="DM49" s="195"/>
      <c r="DN49" s="195"/>
      <c r="DO49" s="195"/>
      <c r="DP49" s="195"/>
      <c r="DQ49" s="195"/>
      <c r="DR49" s="195"/>
      <c r="DS49" s="195"/>
      <c r="DT49" s="195"/>
      <c r="DU49" s="195"/>
      <c r="DV49" s="195"/>
      <c r="DW49" s="195"/>
      <c r="DX49" s="195"/>
      <c r="EB49" s="335"/>
      <c r="EF49" s="29" t="str">
        <f>'CycleRAP Model'!K48</f>
        <v>Property access</v>
      </c>
      <c r="EG49">
        <f>'CycleRAP Model'!O48</f>
        <v>2</v>
      </c>
      <c r="EH49" s="335"/>
      <c r="GP49" s="335"/>
    </row>
    <row r="50" spans="18:198" x14ac:dyDescent="0.25">
      <c r="R50" s="335"/>
      <c r="S50" s="155" t="str">
        <f>S49</f>
        <v>Facility width per direction</v>
      </c>
      <c r="T50" s="242" t="s">
        <v>186</v>
      </c>
      <c r="U50">
        <v>3</v>
      </c>
      <c r="V50">
        <f>'CycleRAP Model'!O25</f>
        <v>1</v>
      </c>
      <c r="W50" s="158" t="b">
        <f t="shared" ref="W50" si="57">U50=V50</f>
        <v>0</v>
      </c>
      <c r="X50" s="163"/>
      <c r="Y50" s="166"/>
      <c r="Z50" s="166"/>
      <c r="AA50" s="184"/>
      <c r="AB50" s="163"/>
      <c r="AC50" s="166"/>
      <c r="AD50" s="166"/>
      <c r="AE50" s="184"/>
      <c r="AF50" s="206"/>
      <c r="AG50" s="195"/>
      <c r="AH50" s="195"/>
      <c r="AI50" s="206"/>
      <c r="AJ50" s="195"/>
      <c r="AK50" s="195"/>
      <c r="AL50" s="195"/>
      <c r="AM50" s="195"/>
      <c r="AN50" s="195"/>
      <c r="AO50" s="195"/>
      <c r="AP50" s="195"/>
      <c r="AQ50" s="195"/>
      <c r="AR50" s="195"/>
      <c r="AS50" s="195"/>
      <c r="AT50" s="195"/>
      <c r="AU50" s="195"/>
      <c r="AV50" s="206"/>
      <c r="AW50" s="195"/>
      <c r="AX50" s="195"/>
      <c r="AY50" s="195"/>
      <c r="AZ50" s="195"/>
      <c r="BA50" s="195"/>
      <c r="BB50" s="195"/>
      <c r="BC50" s="195"/>
      <c r="BD50" s="195"/>
      <c r="BE50" s="195"/>
      <c r="BF50" s="195"/>
      <c r="BG50" s="195"/>
      <c r="BH50" s="195"/>
      <c r="BI50" s="195"/>
      <c r="BJ50" s="195"/>
      <c r="BK50" s="195"/>
      <c r="BL50" s="195"/>
      <c r="BM50" s="195"/>
      <c r="BN50" s="195"/>
      <c r="BO50" s="195"/>
      <c r="BP50" s="195"/>
      <c r="BQ50" s="195"/>
      <c r="BR50" s="195"/>
      <c r="BS50" s="195"/>
      <c r="BT50" s="195"/>
      <c r="BU50" s="195"/>
      <c r="BV50" s="195"/>
      <c r="BW50" s="195"/>
      <c r="BX50" s="195"/>
      <c r="BY50" s="195"/>
      <c r="BZ50" s="195"/>
      <c r="CA50" s="195"/>
      <c r="CB50" s="195"/>
      <c r="CC50" s="195"/>
      <c r="CD50" s="195"/>
      <c r="CE50" s="195"/>
      <c r="CF50" s="195"/>
      <c r="CG50" s="195"/>
      <c r="CH50" s="195"/>
      <c r="CI50" s="195"/>
      <c r="CJ50" s="195"/>
      <c r="CK50" s="195"/>
      <c r="CL50" s="195"/>
      <c r="CM50" s="195"/>
      <c r="CN50" s="195"/>
      <c r="CO50" s="195"/>
      <c r="CP50" s="195"/>
      <c r="CQ50" s="195"/>
      <c r="CR50" s="201" t="b">
        <v>1</v>
      </c>
      <c r="CS50" s="195"/>
      <c r="CT50" s="195"/>
      <c r="CU50" s="195"/>
      <c r="CV50" s="195"/>
      <c r="CW50" s="195"/>
      <c r="CX50" s="195"/>
      <c r="CY50" s="195"/>
      <c r="CZ50" s="195"/>
      <c r="DA50" s="195"/>
      <c r="DB50" s="195"/>
      <c r="DC50" s="195"/>
      <c r="DD50" s="195"/>
      <c r="DE50" s="195"/>
      <c r="DF50" s="195"/>
      <c r="DG50" s="195"/>
      <c r="DH50" s="195"/>
      <c r="DI50" s="195"/>
      <c r="DJ50" s="195"/>
      <c r="DK50" s="195"/>
      <c r="DL50" s="195"/>
      <c r="DM50" s="195"/>
      <c r="DN50" s="195"/>
      <c r="DO50" s="195"/>
      <c r="DP50" s="195"/>
      <c r="DQ50" s="195"/>
      <c r="DR50" s="195"/>
      <c r="DS50" s="195"/>
      <c r="DT50" s="195"/>
      <c r="DU50" s="195"/>
      <c r="DV50" s="195"/>
      <c r="DW50" s="195"/>
      <c r="DX50" s="195"/>
      <c r="EB50" s="335"/>
      <c r="EF50" s="29" t="str">
        <f>'CycleRAP Model'!K49</f>
        <v>Peak pedestrian flow along or across facility</v>
      </c>
      <c r="EG50">
        <f>'CycleRAP Model'!O49</f>
        <v>3</v>
      </c>
      <c r="EH50" s="335"/>
      <c r="GP50" s="335"/>
    </row>
    <row r="51" spans="18:198" x14ac:dyDescent="0.25">
      <c r="R51" s="335"/>
      <c r="S51" s="154" t="s">
        <v>43</v>
      </c>
      <c r="T51" s="4" t="s">
        <v>187</v>
      </c>
      <c r="U51" s="157">
        <v>1</v>
      </c>
      <c r="V51" s="157">
        <f>'CycleRAP Model'!O26</f>
        <v>2</v>
      </c>
      <c r="W51" s="162" t="b">
        <f t="shared" si="52"/>
        <v>0</v>
      </c>
      <c r="X51" s="170"/>
      <c r="Y51" s="171"/>
      <c r="Z51" s="171"/>
      <c r="AA51" s="185"/>
      <c r="AB51" s="170"/>
      <c r="AC51" s="171"/>
      <c r="AD51" s="171"/>
      <c r="AE51" s="185"/>
      <c r="AF51" s="208"/>
      <c r="AG51" s="197"/>
      <c r="AH51" s="197"/>
      <c r="AI51" s="208"/>
      <c r="AJ51" s="197"/>
      <c r="AK51" s="197"/>
      <c r="AL51" s="197"/>
      <c r="AM51" s="197"/>
      <c r="AN51" s="197"/>
      <c r="AO51" s="197"/>
      <c r="AP51" s="197"/>
      <c r="AQ51" s="197"/>
      <c r="AR51" s="197"/>
      <c r="AS51" s="197"/>
      <c r="AT51" s="197"/>
      <c r="AU51" s="197"/>
      <c r="AV51" s="208"/>
      <c r="AW51" s="197"/>
      <c r="AX51" s="197"/>
      <c r="AY51" s="197"/>
      <c r="AZ51" s="197"/>
      <c r="BA51" s="197"/>
      <c r="BB51" s="197"/>
      <c r="BC51" s="197"/>
      <c r="BD51" s="197"/>
      <c r="BE51" s="197"/>
      <c r="BF51" s="197"/>
      <c r="BG51" s="197"/>
      <c r="BH51" s="197"/>
      <c r="BI51" s="197"/>
      <c r="BJ51" s="197"/>
      <c r="BK51" s="197"/>
      <c r="BL51" s="197"/>
      <c r="BM51" s="197"/>
      <c r="BN51" s="197"/>
      <c r="BO51" s="197"/>
      <c r="BP51" s="197"/>
      <c r="BQ51" s="197"/>
      <c r="BR51" s="197"/>
      <c r="BS51" s="197"/>
      <c r="BT51" s="197"/>
      <c r="BU51" s="197"/>
      <c r="BV51" s="197"/>
      <c r="BW51" s="197"/>
      <c r="BX51" s="197"/>
      <c r="BY51" s="197"/>
      <c r="BZ51" s="197"/>
      <c r="CA51" s="197"/>
      <c r="CB51" s="197"/>
      <c r="CC51" s="197"/>
      <c r="CD51" s="197"/>
      <c r="CE51" s="197"/>
      <c r="CF51" s="197"/>
      <c r="CG51" s="197"/>
      <c r="CH51" s="197"/>
      <c r="CI51" s="197"/>
      <c r="CJ51" s="197"/>
      <c r="CK51" s="197"/>
      <c r="CL51" s="197"/>
      <c r="CM51" s="197"/>
      <c r="CN51" s="197"/>
      <c r="CO51" s="197"/>
      <c r="CP51" s="197"/>
      <c r="CQ51" s="197"/>
      <c r="CR51" s="197"/>
      <c r="CS51" s="197"/>
      <c r="CT51" s="197"/>
      <c r="CU51" s="197"/>
      <c r="CV51" s="197"/>
      <c r="CW51" s="197"/>
      <c r="CX51" s="197"/>
      <c r="CY51" s="197"/>
      <c r="CZ51" s="197"/>
      <c r="DA51" s="197"/>
      <c r="DB51" s="197"/>
      <c r="DC51" s="197"/>
      <c r="DD51" s="197"/>
      <c r="DE51" s="197"/>
      <c r="DF51" s="197"/>
      <c r="DG51" s="197"/>
      <c r="DH51" s="197"/>
      <c r="DI51" s="197"/>
      <c r="DJ51" s="197"/>
      <c r="DK51" s="197"/>
      <c r="DL51" s="197"/>
      <c r="DM51" s="197"/>
      <c r="DN51" s="197"/>
      <c r="DO51" s="197"/>
      <c r="DP51" s="197"/>
      <c r="DQ51" s="197"/>
      <c r="DR51" s="197"/>
      <c r="DS51" s="197"/>
      <c r="DT51" s="197"/>
      <c r="DU51" s="197"/>
      <c r="DV51" s="197"/>
      <c r="DW51" s="197"/>
      <c r="DX51" s="197"/>
      <c r="DZ51" s="138"/>
      <c r="EA51" s="138"/>
      <c r="EB51" s="335"/>
      <c r="EF51" s="29" t="str">
        <f>'CycleRAP Model'!K50</f>
        <v>Peak bicycle/LV traffic flow</v>
      </c>
      <c r="EG51">
        <f>'CycleRAP Model'!O50</f>
        <v>2</v>
      </c>
      <c r="EH51" s="335"/>
      <c r="GP51" s="335"/>
    </row>
    <row r="52" spans="18:198" x14ac:dyDescent="0.25">
      <c r="R52" s="335"/>
      <c r="S52" s="155" t="str">
        <f>S51</f>
        <v>Flow direction</v>
      </c>
      <c r="T52" t="s">
        <v>44</v>
      </c>
      <c r="U52">
        <v>2</v>
      </c>
      <c r="V52">
        <f>'CycleRAP Model'!O26</f>
        <v>2</v>
      </c>
      <c r="W52" s="158" t="b">
        <f t="shared" si="52"/>
        <v>1</v>
      </c>
      <c r="X52" s="174"/>
      <c r="Y52" s="173"/>
      <c r="Z52" s="173"/>
      <c r="AA52" s="188"/>
      <c r="AB52" s="174"/>
      <c r="AC52" s="173"/>
      <c r="AD52" s="173"/>
      <c r="AE52" s="188"/>
      <c r="AF52" s="209"/>
      <c r="AG52" s="198"/>
      <c r="AH52" s="198"/>
      <c r="AI52" s="209"/>
      <c r="AJ52" s="198"/>
      <c r="AK52" s="198"/>
      <c r="AL52" s="198"/>
      <c r="AM52" s="211"/>
      <c r="AN52" s="211"/>
      <c r="AO52" s="198"/>
      <c r="AP52" s="198"/>
      <c r="AQ52" s="198"/>
      <c r="AR52" s="198"/>
      <c r="AS52" s="198"/>
      <c r="AT52" s="198"/>
      <c r="AU52" s="198"/>
      <c r="AV52" s="219" t="b">
        <v>1</v>
      </c>
      <c r="AW52" s="200" t="b">
        <v>1</v>
      </c>
      <c r="AX52" s="200" t="b">
        <v>1</v>
      </c>
      <c r="AY52" s="200" t="b">
        <v>1</v>
      </c>
      <c r="AZ52" s="200" t="b">
        <v>1</v>
      </c>
      <c r="BA52" s="200" t="b">
        <v>1</v>
      </c>
      <c r="BB52" s="200" t="b">
        <v>1</v>
      </c>
      <c r="BC52" s="198"/>
      <c r="BD52" s="198"/>
      <c r="BE52" s="200" t="b">
        <v>1</v>
      </c>
      <c r="BF52" s="198"/>
      <c r="BG52" s="198"/>
      <c r="BH52" s="198"/>
      <c r="BI52" s="198"/>
      <c r="BJ52" s="198"/>
      <c r="BK52" s="200" t="b">
        <v>1</v>
      </c>
      <c r="BL52" s="198"/>
      <c r="BM52" s="198"/>
      <c r="BN52" s="198"/>
      <c r="BO52" s="198"/>
      <c r="BP52" s="198"/>
      <c r="BQ52" s="198"/>
      <c r="BR52" s="198"/>
      <c r="BS52" s="198"/>
      <c r="BT52" s="198"/>
      <c r="BU52" s="198"/>
      <c r="BV52" s="198"/>
      <c r="BW52" s="198"/>
      <c r="BX52" s="198"/>
      <c r="BY52" s="198"/>
      <c r="BZ52" s="198"/>
      <c r="CA52" s="198"/>
      <c r="CB52" s="198"/>
      <c r="CC52" s="198"/>
      <c r="CD52" s="200" t="b">
        <v>1</v>
      </c>
      <c r="CE52" s="198"/>
      <c r="CF52" s="198"/>
      <c r="CG52" s="198"/>
      <c r="CH52" s="198"/>
      <c r="CI52" s="198"/>
      <c r="CJ52" s="198"/>
      <c r="CK52" s="198"/>
      <c r="CL52" s="198"/>
      <c r="CM52" s="198"/>
      <c r="CN52" s="198"/>
      <c r="CO52" s="198"/>
      <c r="CP52" s="198"/>
      <c r="CQ52" s="200" t="b">
        <v>1</v>
      </c>
      <c r="CR52" s="200" t="b">
        <v>1</v>
      </c>
      <c r="CS52" s="198"/>
      <c r="CT52" s="198"/>
      <c r="CU52" s="198"/>
      <c r="CV52" s="198"/>
      <c r="CW52" s="200" t="b">
        <v>1</v>
      </c>
      <c r="CX52" s="198"/>
      <c r="CY52" s="198"/>
      <c r="CZ52" s="198"/>
      <c r="DA52" s="198"/>
      <c r="DB52" s="198"/>
      <c r="DC52" s="200" t="b">
        <v>1</v>
      </c>
      <c r="DD52" s="198"/>
      <c r="DE52" s="198"/>
      <c r="DF52" s="198"/>
      <c r="DG52" s="198"/>
      <c r="DH52" s="198"/>
      <c r="DI52" s="198"/>
      <c r="DJ52" s="198"/>
      <c r="DK52" s="198"/>
      <c r="DL52" s="198"/>
      <c r="DM52" s="198"/>
      <c r="DN52" s="198"/>
      <c r="DO52" s="198"/>
      <c r="DP52" s="198"/>
      <c r="DQ52" s="198"/>
      <c r="DR52" s="198"/>
      <c r="DS52" s="198"/>
      <c r="DT52" s="198"/>
      <c r="DU52" s="198"/>
      <c r="DV52" s="198"/>
      <c r="DW52" s="198"/>
      <c r="DX52" s="200" t="b">
        <v>1</v>
      </c>
      <c r="EB52" s="335"/>
      <c r="EF52" s="29" t="str">
        <f>'CycleRAP Model'!K51</f>
        <v>Observed proportion of cargo bikes and mopeds</v>
      </c>
      <c r="EG52">
        <f>'CycleRAP Model'!O51</f>
        <v>2</v>
      </c>
      <c r="EH52" s="335"/>
      <c r="GP52" s="335"/>
    </row>
    <row r="53" spans="18:198" x14ac:dyDescent="0.25">
      <c r="R53" s="335"/>
      <c r="S53" s="154" t="s">
        <v>47</v>
      </c>
      <c r="T53" s="4" t="s">
        <v>24</v>
      </c>
      <c r="U53" s="157">
        <v>1</v>
      </c>
      <c r="V53" s="157">
        <f>'CycleRAP Model'!O27</f>
        <v>2</v>
      </c>
      <c r="W53" s="162" t="b">
        <f t="shared" si="52"/>
        <v>0</v>
      </c>
      <c r="X53" s="166"/>
      <c r="Y53" s="163"/>
      <c r="Z53" s="163"/>
      <c r="AA53" s="181"/>
      <c r="AB53" s="166"/>
      <c r="AC53" s="163"/>
      <c r="AD53" s="163"/>
      <c r="AE53" s="181"/>
      <c r="AF53" s="206"/>
      <c r="AG53" s="195"/>
      <c r="AH53" s="195"/>
      <c r="AI53" s="206"/>
      <c r="AJ53" s="195"/>
      <c r="AK53" s="195"/>
      <c r="AL53" s="195"/>
      <c r="AM53" s="195"/>
      <c r="AN53" s="195"/>
      <c r="AO53" s="195"/>
      <c r="AP53" s="195"/>
      <c r="AQ53" s="195"/>
      <c r="AR53" s="195"/>
      <c r="AS53" s="195"/>
      <c r="AT53" s="195"/>
      <c r="AU53" s="195"/>
      <c r="AV53" s="206"/>
      <c r="AW53" s="195"/>
      <c r="AX53" s="195"/>
      <c r="AY53" s="195"/>
      <c r="AZ53" s="195"/>
      <c r="BA53" s="195"/>
      <c r="BB53" s="195"/>
      <c r="BC53" s="195"/>
      <c r="BD53" s="195"/>
      <c r="BE53" s="195"/>
      <c r="BF53" s="195"/>
      <c r="BG53" s="195"/>
      <c r="BH53" s="195"/>
      <c r="BI53" s="195"/>
      <c r="BJ53" s="195"/>
      <c r="BK53" s="195"/>
      <c r="BL53" s="195"/>
      <c r="BM53" s="195"/>
      <c r="BN53" s="195"/>
      <c r="BO53" s="195"/>
      <c r="BP53" s="195"/>
      <c r="BQ53" s="195"/>
      <c r="BR53" s="195"/>
      <c r="BS53" s="195"/>
      <c r="BT53" s="201" t="b">
        <v>1</v>
      </c>
      <c r="BU53" s="201" t="b">
        <v>1</v>
      </c>
      <c r="BV53" s="201" t="b">
        <v>1</v>
      </c>
      <c r="BW53" s="195"/>
      <c r="BX53" s="195"/>
      <c r="BY53" s="195"/>
      <c r="BZ53" s="195"/>
      <c r="CA53" s="195"/>
      <c r="CB53" s="195"/>
      <c r="CC53" s="195"/>
      <c r="CD53" s="195"/>
      <c r="CE53" s="195"/>
      <c r="CF53" s="195"/>
      <c r="CG53" s="195"/>
      <c r="CH53" s="195"/>
      <c r="CI53" s="195"/>
      <c r="CJ53" s="195"/>
      <c r="CK53" s="195"/>
      <c r="CL53" s="195"/>
      <c r="CM53" s="195"/>
      <c r="CN53" s="195"/>
      <c r="CO53" s="195"/>
      <c r="CP53" s="195"/>
      <c r="CQ53" s="195"/>
      <c r="CR53" s="195"/>
      <c r="CS53" s="195"/>
      <c r="CT53" s="195"/>
      <c r="CU53" s="195"/>
      <c r="CV53" s="195"/>
      <c r="CW53" s="195"/>
      <c r="CX53" s="195"/>
      <c r="CY53" s="195"/>
      <c r="CZ53" s="195"/>
      <c r="DA53" s="195"/>
      <c r="DB53" s="195"/>
      <c r="DC53" s="195"/>
      <c r="DD53" s="195"/>
      <c r="DE53" s="195"/>
      <c r="DF53" s="195"/>
      <c r="DG53" s="195"/>
      <c r="DH53" s="195"/>
      <c r="DI53" s="195"/>
      <c r="DJ53" s="195"/>
      <c r="DK53" s="195"/>
      <c r="DL53" s="195"/>
      <c r="DM53" s="195"/>
      <c r="DN53" s="195"/>
      <c r="DO53" s="195"/>
      <c r="DP53" s="195"/>
      <c r="DQ53" s="195"/>
      <c r="DR53" s="195"/>
      <c r="DS53" s="195"/>
      <c r="DT53" s="195"/>
      <c r="DU53" s="195"/>
      <c r="DV53" s="195"/>
      <c r="DW53" s="195"/>
      <c r="DX53" s="195"/>
      <c r="EB53" s="335"/>
      <c r="EF53" s="29" t="str">
        <f>'CycleRAP Model'!K52</f>
        <v>Bicycle/LV speed – average</v>
      </c>
      <c r="EG53">
        <f>'CycleRAP Model'!O52</f>
        <v>1</v>
      </c>
      <c r="EH53" s="335"/>
      <c r="GP53" s="335"/>
    </row>
    <row r="54" spans="18:198" x14ac:dyDescent="0.25">
      <c r="R54" s="335"/>
      <c r="S54" t="str">
        <f>S53</f>
        <v>Width restriction</v>
      </c>
      <c r="T54" t="s">
        <v>22</v>
      </c>
      <c r="U54">
        <v>2</v>
      </c>
      <c r="V54">
        <f>'CycleRAP Model'!O27</f>
        <v>2</v>
      </c>
      <c r="W54" s="158" t="b">
        <f t="shared" si="52"/>
        <v>1</v>
      </c>
      <c r="X54" s="163"/>
      <c r="Y54" s="166"/>
      <c r="Z54" s="166"/>
      <c r="AA54" s="184"/>
      <c r="AB54" s="163"/>
      <c r="AC54" s="166"/>
      <c r="AD54" s="166"/>
      <c r="AE54" s="184"/>
      <c r="AF54" s="206"/>
      <c r="AG54" s="195"/>
      <c r="AH54" s="195"/>
      <c r="AI54" s="206"/>
      <c r="AJ54" s="195"/>
      <c r="AK54" s="211"/>
      <c r="AL54" s="211"/>
      <c r="AM54" s="195"/>
      <c r="AN54" s="195"/>
      <c r="AO54" s="195"/>
      <c r="AP54" s="195"/>
      <c r="AQ54" s="195"/>
      <c r="AR54" s="195"/>
      <c r="AS54" s="195"/>
      <c r="AT54" s="195"/>
      <c r="AU54" s="195"/>
      <c r="AV54" s="206"/>
      <c r="AW54" s="195"/>
      <c r="AX54" s="195"/>
      <c r="AY54" s="195"/>
      <c r="AZ54" s="195"/>
      <c r="BA54" s="195"/>
      <c r="BB54" s="195"/>
      <c r="BC54" s="195"/>
      <c r="BD54" s="195"/>
      <c r="BE54" s="195"/>
      <c r="BF54" s="195"/>
      <c r="BG54" s="195"/>
      <c r="BH54" s="195"/>
      <c r="BI54" s="195"/>
      <c r="BJ54" s="195"/>
      <c r="BK54" s="195"/>
      <c r="BL54" s="195"/>
      <c r="BM54" s="195"/>
      <c r="BN54" s="195"/>
      <c r="BO54" s="195"/>
      <c r="BP54" s="195"/>
      <c r="BQ54" s="195"/>
      <c r="BR54" s="195"/>
      <c r="BS54" s="195"/>
      <c r="BT54" s="195"/>
      <c r="BU54" s="195"/>
      <c r="BV54" s="195"/>
      <c r="BW54" s="195"/>
      <c r="BX54" s="195"/>
      <c r="BY54" s="195"/>
      <c r="BZ54" s="195"/>
      <c r="CA54" s="195"/>
      <c r="CB54" s="195"/>
      <c r="CC54" s="195"/>
      <c r="CD54" s="195"/>
      <c r="CE54" s="195"/>
      <c r="CF54" s="195"/>
      <c r="CG54" s="195"/>
      <c r="CH54" s="195"/>
      <c r="CI54" s="195"/>
      <c r="CJ54" s="195"/>
      <c r="CK54" s="195"/>
      <c r="CL54" s="195"/>
      <c r="CM54" s="195"/>
      <c r="CN54" s="195"/>
      <c r="CO54" s="195"/>
      <c r="CP54" s="195"/>
      <c r="CQ54" s="195"/>
      <c r="CR54" s="195"/>
      <c r="CS54" s="195"/>
      <c r="CT54" s="195"/>
      <c r="CU54" s="195"/>
      <c r="CV54" s="195"/>
      <c r="CW54" s="195"/>
      <c r="CX54" s="195"/>
      <c r="CY54" s="195"/>
      <c r="CZ54" s="195"/>
      <c r="DA54" s="195"/>
      <c r="DB54" s="195"/>
      <c r="DC54" s="195"/>
      <c r="DD54" s="195"/>
      <c r="DE54" s="195"/>
      <c r="DF54" s="195"/>
      <c r="DG54" s="195"/>
      <c r="DH54" s="195"/>
      <c r="DI54" s="195"/>
      <c r="DJ54" s="195"/>
      <c r="DK54" s="195"/>
      <c r="DL54" s="195"/>
      <c r="DM54" s="195"/>
      <c r="DN54" s="195"/>
      <c r="DO54" s="195"/>
      <c r="DP54" s="195"/>
      <c r="DQ54" s="195"/>
      <c r="DR54" s="195"/>
      <c r="DS54" s="195"/>
      <c r="DT54" s="195"/>
      <c r="DU54" s="195"/>
      <c r="DV54" s="195"/>
      <c r="DW54" s="195"/>
      <c r="DX54" s="195"/>
      <c r="EB54" s="335"/>
      <c r="EF54" s="29" t="str">
        <f>'CycleRAP Model'!K53</f>
        <v>Bicycle/LV speed differential</v>
      </c>
      <c r="EG54">
        <f>'CycleRAP Model'!O53</f>
        <v>1</v>
      </c>
      <c r="EH54" s="335"/>
      <c r="GP54" s="335"/>
    </row>
    <row r="55" spans="18:198" x14ac:dyDescent="0.25">
      <c r="R55" s="335"/>
      <c r="S55" s="4" t="s">
        <v>49</v>
      </c>
      <c r="T55" s="4" t="s">
        <v>24</v>
      </c>
      <c r="U55" s="157">
        <v>1</v>
      </c>
      <c r="V55" s="157">
        <f>'CycleRAP Model'!O28</f>
        <v>2</v>
      </c>
      <c r="W55" s="162" t="b">
        <f t="shared" si="52"/>
        <v>0</v>
      </c>
      <c r="X55" s="170"/>
      <c r="Y55" s="171"/>
      <c r="Z55" s="171"/>
      <c r="AA55" s="185"/>
      <c r="AB55" s="170"/>
      <c r="AC55" s="171"/>
      <c r="AD55" s="171"/>
      <c r="AE55" s="185"/>
      <c r="AF55" s="213" t="b">
        <v>1</v>
      </c>
      <c r="AG55" s="202" t="b">
        <v>1</v>
      </c>
      <c r="AH55" s="202" t="b">
        <v>1</v>
      </c>
      <c r="AI55" s="213" t="b">
        <v>1</v>
      </c>
      <c r="AJ55" s="202" t="b">
        <v>1</v>
      </c>
      <c r="AK55" s="195"/>
      <c r="AL55" s="195"/>
      <c r="AM55" s="197"/>
      <c r="AN55" s="197"/>
      <c r="AO55" s="197"/>
      <c r="AP55" s="197"/>
      <c r="AQ55" s="197"/>
      <c r="AR55" s="197"/>
      <c r="AS55" s="197"/>
      <c r="AT55" s="197"/>
      <c r="AU55" s="197"/>
      <c r="AV55" s="208"/>
      <c r="AW55" s="197"/>
      <c r="AX55" s="197"/>
      <c r="AY55" s="197"/>
      <c r="AZ55" s="197"/>
      <c r="BA55" s="202" t="b">
        <v>1</v>
      </c>
      <c r="BB55" s="197"/>
      <c r="BC55" s="197"/>
      <c r="BD55" s="202" t="b">
        <v>1</v>
      </c>
      <c r="BE55" s="197"/>
      <c r="BF55" s="197"/>
      <c r="BG55" s="202" t="b">
        <v>1</v>
      </c>
      <c r="BH55" s="197"/>
      <c r="BI55" s="197"/>
      <c r="BJ55" s="197"/>
      <c r="BK55" s="197"/>
      <c r="BL55" s="197"/>
      <c r="BM55" s="197"/>
      <c r="BN55" s="197"/>
      <c r="BO55" s="197"/>
      <c r="BP55" s="197"/>
      <c r="BQ55" s="197"/>
      <c r="BR55" s="197"/>
      <c r="BS55" s="197"/>
      <c r="BT55" s="197"/>
      <c r="BU55" s="197"/>
      <c r="BV55" s="197"/>
      <c r="BW55" s="197"/>
      <c r="BX55" s="197"/>
      <c r="BY55" s="197"/>
      <c r="BZ55" s="197"/>
      <c r="CA55" s="197"/>
      <c r="CB55" s="197"/>
      <c r="CC55" s="197"/>
      <c r="CD55" s="197"/>
      <c r="CE55" s="197"/>
      <c r="CF55" s="197"/>
      <c r="CG55" s="197"/>
      <c r="CH55" s="197"/>
      <c r="CI55" s="197"/>
      <c r="CJ55" s="197"/>
      <c r="CK55" s="197"/>
      <c r="CL55" s="197"/>
      <c r="CM55" s="197"/>
      <c r="CN55" s="197"/>
      <c r="CO55" s="202" t="b">
        <v>1</v>
      </c>
      <c r="CP55" s="197"/>
      <c r="CQ55" s="197"/>
      <c r="CR55" s="197"/>
      <c r="CS55" s="197"/>
      <c r="CT55" s="197"/>
      <c r="CU55" s="197"/>
      <c r="CV55" s="197"/>
      <c r="CW55" s="197"/>
      <c r="CX55" s="197"/>
      <c r="CY55" s="197"/>
      <c r="CZ55" s="197"/>
      <c r="DA55" s="197"/>
      <c r="DB55" s="197"/>
      <c r="DC55" s="197"/>
      <c r="DD55" s="197"/>
      <c r="DE55" s="202" t="b">
        <v>1</v>
      </c>
      <c r="DF55" s="197"/>
      <c r="DG55" s="197"/>
      <c r="DH55" s="197"/>
      <c r="DI55" s="197"/>
      <c r="DJ55" s="202" t="b">
        <v>1</v>
      </c>
      <c r="DK55" s="202" t="b">
        <v>1</v>
      </c>
      <c r="DL55" s="197"/>
      <c r="DM55" s="197"/>
      <c r="DN55" s="202" t="b">
        <v>1</v>
      </c>
      <c r="DO55" s="202" t="b">
        <v>1</v>
      </c>
      <c r="DP55" s="197"/>
      <c r="DQ55" s="197"/>
      <c r="DR55" s="197"/>
      <c r="DS55" s="197"/>
      <c r="DT55" s="197"/>
      <c r="DU55" s="197"/>
      <c r="DV55" s="197"/>
      <c r="DW55" s="197"/>
      <c r="DX55" s="197"/>
      <c r="EB55" s="335"/>
      <c r="EF55" s="29" t="str">
        <f>'CycleRAP Model'!K54</f>
        <v>Road AADT</v>
      </c>
      <c r="EG55">
        <f>'CycleRAP Model'!O54</f>
        <v>39500</v>
      </c>
      <c r="EH55" s="335"/>
      <c r="GP55" s="335"/>
    </row>
    <row r="56" spans="18:198" x14ac:dyDescent="0.25">
      <c r="R56" s="335"/>
      <c r="S56" t="str">
        <f>S55</f>
        <v>Adjacent road lane 0-1m</v>
      </c>
      <c r="T56" t="s">
        <v>22</v>
      </c>
      <c r="U56">
        <v>2</v>
      </c>
      <c r="V56">
        <f>'CycleRAP Model'!O28</f>
        <v>2</v>
      </c>
      <c r="W56" s="158" t="b">
        <f t="shared" si="52"/>
        <v>1</v>
      </c>
      <c r="X56" s="174"/>
      <c r="Y56" s="173"/>
      <c r="Z56" s="173"/>
      <c r="AA56" s="188"/>
      <c r="AB56" s="174"/>
      <c r="AC56" s="173"/>
      <c r="AD56" s="173"/>
      <c r="AE56" s="188"/>
      <c r="AF56" s="209"/>
      <c r="AG56" s="198"/>
      <c r="AH56" s="198"/>
      <c r="AI56" s="209"/>
      <c r="AJ56" s="198"/>
      <c r="AK56" s="198"/>
      <c r="AL56" s="198"/>
      <c r="AM56" s="198"/>
      <c r="AN56" s="198"/>
      <c r="AO56" s="198"/>
      <c r="AP56" s="198"/>
      <c r="AQ56" s="198"/>
      <c r="AR56" s="198"/>
      <c r="AS56" s="198"/>
      <c r="AT56" s="198"/>
      <c r="AU56" s="198"/>
      <c r="AV56" s="209"/>
      <c r="AW56" s="198"/>
      <c r="AX56" s="198"/>
      <c r="AY56" s="198"/>
      <c r="AZ56" s="198"/>
      <c r="BA56" s="198"/>
      <c r="BB56" s="198"/>
      <c r="BC56" s="198"/>
      <c r="BD56" s="198"/>
      <c r="BE56" s="198"/>
      <c r="BF56" s="198"/>
      <c r="BG56" s="198"/>
      <c r="BH56" s="198"/>
      <c r="BI56" s="198"/>
      <c r="BJ56" s="198"/>
      <c r="BK56" s="198"/>
      <c r="BL56" s="198"/>
      <c r="BM56" s="198"/>
      <c r="BN56" s="198"/>
      <c r="BO56" s="198"/>
      <c r="BP56" s="198"/>
      <c r="BQ56" s="198"/>
      <c r="BR56" s="198"/>
      <c r="BS56" s="198"/>
      <c r="BT56" s="198"/>
      <c r="BU56" s="198"/>
      <c r="BV56" s="198"/>
      <c r="BW56" s="198"/>
      <c r="BX56" s="198"/>
      <c r="BY56" s="198"/>
      <c r="BZ56" s="198"/>
      <c r="CA56" s="198"/>
      <c r="CB56" s="198"/>
      <c r="CC56" s="198"/>
      <c r="CD56" s="198"/>
      <c r="CE56" s="198"/>
      <c r="CF56" s="198"/>
      <c r="CG56" s="198"/>
      <c r="CH56" s="198"/>
      <c r="CI56" s="198"/>
      <c r="CJ56" s="198"/>
      <c r="CK56" s="198"/>
      <c r="CL56" s="198"/>
      <c r="CM56" s="198"/>
      <c r="CN56" s="198"/>
      <c r="CO56" s="198"/>
      <c r="CP56" s="198"/>
      <c r="CQ56" s="198"/>
      <c r="CR56" s="198"/>
      <c r="CS56" s="198"/>
      <c r="CT56" s="198"/>
      <c r="CU56" s="198"/>
      <c r="CV56" s="198"/>
      <c r="CW56" s="198"/>
      <c r="CX56" s="198"/>
      <c r="CY56" s="198"/>
      <c r="CZ56" s="198"/>
      <c r="DA56" s="198"/>
      <c r="DB56" s="198"/>
      <c r="DC56" s="198"/>
      <c r="DD56" s="198"/>
      <c r="DE56" s="198"/>
      <c r="DF56" s="198"/>
      <c r="DG56" s="198"/>
      <c r="DH56" s="198"/>
      <c r="DI56" s="198"/>
      <c r="DJ56" s="198"/>
      <c r="DK56" s="198"/>
      <c r="DL56" s="198"/>
      <c r="DM56" s="198"/>
      <c r="DN56" s="198"/>
      <c r="DO56" s="198"/>
      <c r="DP56" s="198"/>
      <c r="DQ56" s="198"/>
      <c r="DR56" s="198"/>
      <c r="DS56" s="198"/>
      <c r="DT56" s="198"/>
      <c r="DU56" s="198"/>
      <c r="DV56" s="198"/>
      <c r="DW56" s="198"/>
      <c r="DX56" s="198"/>
      <c r="EB56" s="335"/>
      <c r="EF56" s="29" t="str">
        <f>'CycleRAP Model'!K55</f>
        <v>Heavy vehicle flow</v>
      </c>
      <c r="EG56">
        <f>'CycleRAP Model'!O55</f>
        <v>2</v>
      </c>
      <c r="EH56" s="335"/>
      <c r="GP56" s="335"/>
    </row>
    <row r="57" spans="18:198" x14ac:dyDescent="0.25">
      <c r="R57" s="335"/>
      <c r="S57" s="4" t="s">
        <v>51</v>
      </c>
      <c r="T57" s="4" t="s">
        <v>24</v>
      </c>
      <c r="U57" s="157">
        <v>1</v>
      </c>
      <c r="V57" s="157">
        <f>'CycleRAP Model'!O29</f>
        <v>2</v>
      </c>
      <c r="W57" s="162" t="b">
        <f t="shared" si="52"/>
        <v>0</v>
      </c>
      <c r="X57" s="166"/>
      <c r="Y57" s="163"/>
      <c r="Z57" s="163"/>
      <c r="AA57" s="181"/>
      <c r="AB57" s="166"/>
      <c r="AC57" s="163"/>
      <c r="AD57" s="163"/>
      <c r="AE57" s="181"/>
      <c r="AF57" s="206"/>
      <c r="AG57" s="195"/>
      <c r="AH57" s="195"/>
      <c r="AI57" s="206"/>
      <c r="AJ57" s="195"/>
      <c r="AK57" s="195"/>
      <c r="AL57" s="195"/>
      <c r="AM57" s="195"/>
      <c r="AN57" s="195"/>
      <c r="AO57" s="195"/>
      <c r="AP57" s="195"/>
      <c r="AQ57" s="195"/>
      <c r="AR57" s="195"/>
      <c r="AS57" s="195"/>
      <c r="AT57" s="195"/>
      <c r="AU57" s="195"/>
      <c r="AV57" s="206"/>
      <c r="AW57" s="195"/>
      <c r="AX57" s="195"/>
      <c r="AY57" s="195"/>
      <c r="AZ57" s="195"/>
      <c r="BA57" s="195"/>
      <c r="BB57" s="195"/>
      <c r="BC57" s="195"/>
      <c r="BD57" s="195"/>
      <c r="BE57" s="201" t="b">
        <v>1</v>
      </c>
      <c r="BF57" s="201" t="b">
        <v>1</v>
      </c>
      <c r="BG57" s="195"/>
      <c r="BH57" s="195"/>
      <c r="BI57" s="195"/>
      <c r="BJ57" s="195"/>
      <c r="BK57" s="195"/>
      <c r="BL57" s="195"/>
      <c r="BM57" s="195"/>
      <c r="BN57" s="195"/>
      <c r="BO57" s="195"/>
      <c r="BP57" s="195"/>
      <c r="BQ57" s="195"/>
      <c r="BR57" s="195"/>
      <c r="BS57" s="195"/>
      <c r="BT57" s="195"/>
      <c r="BU57" s="195"/>
      <c r="BV57" s="195"/>
      <c r="BW57" s="195"/>
      <c r="BX57" s="195"/>
      <c r="BY57" s="195"/>
      <c r="BZ57" s="195"/>
      <c r="CA57" s="195"/>
      <c r="CB57" s="195"/>
      <c r="CC57" s="195"/>
      <c r="CD57" s="195"/>
      <c r="CE57" s="195"/>
      <c r="CF57" s="195"/>
      <c r="CG57" s="195"/>
      <c r="CH57" s="201" t="b">
        <v>1</v>
      </c>
      <c r="CI57" s="195"/>
      <c r="CJ57" s="195"/>
      <c r="CK57" s="195"/>
      <c r="CL57" s="195"/>
      <c r="CM57" s="195"/>
      <c r="CN57" s="195"/>
      <c r="CO57" s="195"/>
      <c r="CP57" s="195"/>
      <c r="CQ57" s="195"/>
      <c r="CR57" s="195"/>
      <c r="CS57" s="195"/>
      <c r="CT57" s="195"/>
      <c r="CU57" s="195"/>
      <c r="CV57" s="195"/>
      <c r="CW57" s="195"/>
      <c r="CX57" s="195"/>
      <c r="CY57" s="195"/>
      <c r="CZ57" s="195"/>
      <c r="DA57" s="195"/>
      <c r="DB57" s="195"/>
      <c r="DC57" s="201" t="b">
        <v>1</v>
      </c>
      <c r="DD57" s="201" t="b">
        <v>1</v>
      </c>
      <c r="DE57" s="201" t="b">
        <v>1</v>
      </c>
      <c r="DF57" s="201" t="b">
        <v>1</v>
      </c>
      <c r="DG57" s="201" t="b">
        <v>1</v>
      </c>
      <c r="DH57" s="195"/>
      <c r="DI57" s="195"/>
      <c r="DJ57" s="195"/>
      <c r="DK57" s="195"/>
      <c r="DL57" s="195"/>
      <c r="DM57" s="195"/>
      <c r="DN57" s="195"/>
      <c r="DO57" s="195"/>
      <c r="DP57" s="195"/>
      <c r="DQ57" s="195"/>
      <c r="DR57" s="195"/>
      <c r="DS57" s="195"/>
      <c r="DT57" s="195"/>
      <c r="DU57" s="195"/>
      <c r="DV57" s="195"/>
      <c r="DW57" s="195"/>
      <c r="DX57" s="195"/>
      <c r="EB57" s="335"/>
      <c r="EF57" s="29" t="str">
        <f>'CycleRAP Model'!K56</f>
        <v>Road speed limit</v>
      </c>
      <c r="EG57">
        <f>'CycleRAP Model'!O56</f>
        <v>50</v>
      </c>
      <c r="EH57" s="335"/>
      <c r="GP57" s="335"/>
    </row>
    <row r="58" spans="18:198" x14ac:dyDescent="0.25">
      <c r="R58" s="335"/>
      <c r="S58" t="str">
        <f>S57</f>
        <v>Adjacent vehicle parking 0-1m</v>
      </c>
      <c r="T58" t="s">
        <v>22</v>
      </c>
      <c r="U58">
        <v>2</v>
      </c>
      <c r="V58">
        <f>'CycleRAP Model'!O29</f>
        <v>2</v>
      </c>
      <c r="W58" s="158" t="b">
        <f t="shared" si="52"/>
        <v>1</v>
      </c>
      <c r="X58" s="163"/>
      <c r="Y58" s="166"/>
      <c r="Z58" s="166"/>
      <c r="AA58" s="184"/>
      <c r="AB58" s="163"/>
      <c r="AC58" s="166"/>
      <c r="AD58" s="166"/>
      <c r="AE58" s="184"/>
      <c r="AF58" s="206"/>
      <c r="AG58" s="195"/>
      <c r="AH58" s="195"/>
      <c r="AI58" s="206"/>
      <c r="AJ58" s="195"/>
      <c r="AK58" s="195"/>
      <c r="AL58" s="195"/>
      <c r="AM58" s="195"/>
      <c r="AN58" s="195"/>
      <c r="AO58" s="195"/>
      <c r="AP58" s="195"/>
      <c r="AQ58" s="195"/>
      <c r="AR58" s="195"/>
      <c r="AS58" s="195"/>
      <c r="AT58" s="195"/>
      <c r="AU58" s="195"/>
      <c r="AV58" s="206"/>
      <c r="AW58" s="195"/>
      <c r="AX58" s="195"/>
      <c r="AY58" s="195"/>
      <c r="AZ58" s="195"/>
      <c r="BA58" s="195"/>
      <c r="BB58" s="195"/>
      <c r="BC58" s="195"/>
      <c r="BD58" s="195"/>
      <c r="BE58" s="195"/>
      <c r="BF58" s="195"/>
      <c r="BG58" s="195"/>
      <c r="BH58" s="195"/>
      <c r="BI58" s="195"/>
      <c r="BJ58" s="195"/>
      <c r="BK58" s="195"/>
      <c r="BL58" s="195"/>
      <c r="BM58" s="195"/>
      <c r="BN58" s="195"/>
      <c r="BO58" s="195"/>
      <c r="BP58" s="195"/>
      <c r="BQ58" s="195"/>
      <c r="BR58" s="195"/>
      <c r="BS58" s="195"/>
      <c r="BT58" s="195"/>
      <c r="BU58" s="195"/>
      <c r="BV58" s="195"/>
      <c r="BW58" s="195"/>
      <c r="BX58" s="195"/>
      <c r="BY58" s="195"/>
      <c r="BZ58" s="195"/>
      <c r="CA58" s="195"/>
      <c r="CB58" s="195"/>
      <c r="CC58" s="195"/>
      <c r="CD58" s="195"/>
      <c r="CE58" s="195"/>
      <c r="CF58" s="195"/>
      <c r="CG58" s="195"/>
      <c r="CH58" s="195"/>
      <c r="CI58" s="195"/>
      <c r="CJ58" s="195"/>
      <c r="CK58" s="195"/>
      <c r="CL58" s="195"/>
      <c r="CM58" s="195"/>
      <c r="CN58" s="195"/>
      <c r="CO58" s="195"/>
      <c r="CP58" s="195"/>
      <c r="CQ58" s="195"/>
      <c r="CR58" s="195"/>
      <c r="CS58" s="195"/>
      <c r="CT58" s="195"/>
      <c r="CU58" s="195"/>
      <c r="CV58" s="195"/>
      <c r="CW58" s="195"/>
      <c r="CX58" s="195"/>
      <c r="CY58" s="195"/>
      <c r="CZ58" s="195"/>
      <c r="DA58" s="195"/>
      <c r="DB58" s="195"/>
      <c r="DC58" s="195"/>
      <c r="DD58" s="195"/>
      <c r="DE58" s="195"/>
      <c r="DF58" s="195"/>
      <c r="DG58" s="195"/>
      <c r="DH58" s="195"/>
      <c r="DI58" s="195"/>
      <c r="DJ58" s="195"/>
      <c r="DK58" s="195"/>
      <c r="DL58" s="195"/>
      <c r="DM58" s="195"/>
      <c r="DN58" s="195"/>
      <c r="DO58" s="195"/>
      <c r="DP58" s="195"/>
      <c r="DQ58" s="195"/>
      <c r="DR58" s="195"/>
      <c r="DS58" s="195"/>
      <c r="DT58" s="195"/>
      <c r="DU58" s="195"/>
      <c r="DV58" s="195"/>
      <c r="DW58" s="195"/>
      <c r="DX58" s="195"/>
      <c r="EB58" s="335"/>
      <c r="EF58" s="29" t="str">
        <f>'CycleRAP Model'!K57</f>
        <v>Road operating speed (mean)</v>
      </c>
      <c r="EG58">
        <f>'CycleRAP Model'!O57</f>
        <v>42.47</v>
      </c>
      <c r="EH58" s="335"/>
      <c r="GP58" s="335"/>
    </row>
    <row r="59" spans="18:198" x14ac:dyDescent="0.25">
      <c r="R59" s="335"/>
      <c r="S59" s="4" t="s">
        <v>54</v>
      </c>
      <c r="T59" s="4" t="s">
        <v>24</v>
      </c>
      <c r="U59" s="157">
        <v>1</v>
      </c>
      <c r="V59" s="157">
        <f>'CycleRAP Model'!O30</f>
        <v>2</v>
      </c>
      <c r="W59" s="162" t="b">
        <f t="shared" si="52"/>
        <v>0</v>
      </c>
      <c r="X59" s="170"/>
      <c r="Y59" s="171"/>
      <c r="Z59" s="171"/>
      <c r="AA59" s="185"/>
      <c r="AB59" s="170"/>
      <c r="AC59" s="171"/>
      <c r="AD59" s="171"/>
      <c r="AE59" s="185"/>
      <c r="AF59" s="208"/>
      <c r="AG59" s="197"/>
      <c r="AH59" s="197"/>
      <c r="AI59" s="208"/>
      <c r="AJ59" s="197"/>
      <c r="AK59" s="197"/>
      <c r="AL59" s="197"/>
      <c r="AM59" s="197"/>
      <c r="AN59" s="197"/>
      <c r="AO59" s="197"/>
      <c r="AP59" s="197"/>
      <c r="AQ59" s="197"/>
      <c r="AR59" s="197"/>
      <c r="AS59" s="197"/>
      <c r="AT59" s="197"/>
      <c r="AU59" s="197"/>
      <c r="AV59" s="208"/>
      <c r="AW59" s="197"/>
      <c r="AX59" s="197"/>
      <c r="AY59" s="197"/>
      <c r="AZ59" s="197"/>
      <c r="BA59" s="197"/>
      <c r="BB59" s="197"/>
      <c r="BC59" s="197"/>
      <c r="BD59" s="197"/>
      <c r="BE59" s="197"/>
      <c r="BF59" s="197"/>
      <c r="BG59" s="197"/>
      <c r="BH59" s="197"/>
      <c r="BI59" s="197"/>
      <c r="BJ59" s="197"/>
      <c r="BK59" s="197"/>
      <c r="BL59" s="197"/>
      <c r="BM59" s="197"/>
      <c r="BN59" s="197"/>
      <c r="BO59" s="197"/>
      <c r="BP59" s="197"/>
      <c r="BQ59" s="197"/>
      <c r="BR59" s="197"/>
      <c r="BS59" s="197"/>
      <c r="BT59" s="197"/>
      <c r="BU59" s="197"/>
      <c r="BV59" s="197"/>
      <c r="BW59" s="197"/>
      <c r="BX59" s="197"/>
      <c r="BY59" s="197"/>
      <c r="BZ59" s="202" t="b">
        <v>1</v>
      </c>
      <c r="CA59" s="197"/>
      <c r="CB59" s="197"/>
      <c r="CC59" s="197"/>
      <c r="CD59" s="197"/>
      <c r="CE59" s="197"/>
      <c r="CF59" s="197"/>
      <c r="CG59" s="197"/>
      <c r="CH59" s="197"/>
      <c r="CI59" s="197"/>
      <c r="CJ59" s="197"/>
      <c r="CK59" s="202" t="b">
        <v>1</v>
      </c>
      <c r="CL59" s="197"/>
      <c r="CM59" s="197"/>
      <c r="CN59" s="197"/>
      <c r="CO59" s="197"/>
      <c r="CP59" s="197"/>
      <c r="CQ59" s="197"/>
      <c r="CR59" s="197"/>
      <c r="CS59" s="197"/>
      <c r="CT59" s="197"/>
      <c r="CU59" s="197"/>
      <c r="CV59" s="197"/>
      <c r="CW59" s="197"/>
      <c r="CX59" s="197"/>
      <c r="CY59" s="197"/>
      <c r="CZ59" s="197"/>
      <c r="DA59" s="197"/>
      <c r="DB59" s="197"/>
      <c r="DC59" s="197"/>
      <c r="DD59" s="197"/>
      <c r="DE59" s="197"/>
      <c r="DF59" s="197"/>
      <c r="DG59" s="197"/>
      <c r="DH59" s="197"/>
      <c r="DI59" s="197"/>
      <c r="DJ59" s="197"/>
      <c r="DK59" s="197"/>
      <c r="DL59" s="197"/>
      <c r="DM59" s="197"/>
      <c r="DN59" s="197"/>
      <c r="DO59" s="197"/>
      <c r="DP59" s="197"/>
      <c r="DQ59" s="197"/>
      <c r="DR59" s="197"/>
      <c r="DS59" s="197"/>
      <c r="DT59" s="197"/>
      <c r="DU59" s="197"/>
      <c r="DV59" s="197"/>
      <c r="DW59" s="197"/>
      <c r="DX59" s="197"/>
      <c r="EB59" s="335"/>
      <c r="EF59" s="29" t="str">
        <f>'CycleRAP Model'!K58</f>
        <v>Road operating speed (unit)</v>
      </c>
      <c r="EG59">
        <f>'CycleRAP Model'!O58</f>
        <v>0</v>
      </c>
      <c r="EH59" s="335"/>
      <c r="GP59" s="335"/>
    </row>
    <row r="60" spans="18:198" x14ac:dyDescent="0.25">
      <c r="R60" s="335"/>
      <c r="S60" t="str">
        <f>S59</f>
        <v>Adjacent severe hazard 0-1m</v>
      </c>
      <c r="T60" t="s">
        <v>22</v>
      </c>
      <c r="U60">
        <v>2</v>
      </c>
      <c r="V60">
        <f>'CycleRAP Model'!O30</f>
        <v>2</v>
      </c>
      <c r="W60" s="158" t="b">
        <f t="shared" si="52"/>
        <v>1</v>
      </c>
      <c r="X60" s="174"/>
      <c r="Y60" s="173"/>
      <c r="Z60" s="173"/>
      <c r="AA60" s="188"/>
      <c r="AB60" s="174"/>
      <c r="AC60" s="173"/>
      <c r="AD60" s="173"/>
      <c r="AE60" s="188"/>
      <c r="AF60" s="209"/>
      <c r="AG60" s="198"/>
      <c r="AH60" s="198"/>
      <c r="AI60" s="209"/>
      <c r="AJ60" s="198"/>
      <c r="AK60" s="198"/>
      <c r="AL60" s="198"/>
      <c r="AM60" s="198"/>
      <c r="AN60" s="198"/>
      <c r="AO60" s="198"/>
      <c r="AP60" s="198"/>
      <c r="AQ60" s="198"/>
      <c r="AR60" s="198"/>
      <c r="AS60" s="198"/>
      <c r="AT60" s="198"/>
      <c r="AU60" s="198"/>
      <c r="AV60" s="209"/>
      <c r="AW60" s="198"/>
      <c r="AX60" s="198"/>
      <c r="AY60" s="198"/>
      <c r="AZ60" s="198"/>
      <c r="BA60" s="198"/>
      <c r="BB60" s="198"/>
      <c r="BC60" s="198"/>
      <c r="BD60" s="198"/>
      <c r="BE60" s="198"/>
      <c r="BF60" s="198"/>
      <c r="BG60" s="198"/>
      <c r="BH60" s="198"/>
      <c r="BI60" s="198"/>
      <c r="BJ60" s="198"/>
      <c r="BK60" s="198"/>
      <c r="BL60" s="198"/>
      <c r="BM60" s="198"/>
      <c r="BN60" s="198"/>
      <c r="BO60" s="198"/>
      <c r="BP60" s="198"/>
      <c r="BQ60" s="198"/>
      <c r="BR60" s="198"/>
      <c r="BS60" s="198"/>
      <c r="BT60" s="198"/>
      <c r="BU60" s="198"/>
      <c r="BV60" s="198"/>
      <c r="BW60" s="198"/>
      <c r="BX60" s="198"/>
      <c r="BY60" s="198"/>
      <c r="BZ60" s="198"/>
      <c r="CA60" s="198"/>
      <c r="CB60" s="198"/>
      <c r="CC60" s="198"/>
      <c r="CD60" s="198"/>
      <c r="CE60" s="198"/>
      <c r="CF60" s="198"/>
      <c r="CG60" s="198"/>
      <c r="CH60" s="198"/>
      <c r="CI60" s="198"/>
      <c r="CJ60" s="198"/>
      <c r="CK60" s="198"/>
      <c r="CL60" s="198"/>
      <c r="CM60" s="198"/>
      <c r="CN60" s="198"/>
      <c r="CO60" s="198"/>
      <c r="CP60" s="198"/>
      <c r="CQ60" s="198"/>
      <c r="CR60" s="198"/>
      <c r="CS60" s="198"/>
      <c r="CT60" s="198"/>
      <c r="CU60" s="198"/>
      <c r="CV60" s="198"/>
      <c r="CW60" s="198"/>
      <c r="CX60" s="198"/>
      <c r="CY60" s="198"/>
      <c r="CZ60" s="198"/>
      <c r="DA60" s="198"/>
      <c r="DB60" s="198"/>
      <c r="DC60" s="198"/>
      <c r="DD60" s="198"/>
      <c r="DE60" s="198"/>
      <c r="DF60" s="198"/>
      <c r="DG60" s="198"/>
      <c r="DH60" s="198"/>
      <c r="DI60" s="198"/>
      <c r="DJ60" s="198"/>
      <c r="DK60" s="198"/>
      <c r="DL60" s="198"/>
      <c r="DM60" s="198"/>
      <c r="DN60" s="198"/>
      <c r="DO60" s="198"/>
      <c r="DP60" s="198"/>
      <c r="DQ60" s="198"/>
      <c r="DR60" s="198"/>
      <c r="DS60" s="198"/>
      <c r="DT60" s="198"/>
      <c r="DU60" s="198"/>
      <c r="DV60" s="198"/>
      <c r="DW60" s="198"/>
      <c r="DX60" s="198"/>
      <c r="EB60" s="335"/>
      <c r="EF60" s="29">
        <f>'CycleRAP Model'!K59</f>
        <v>0</v>
      </c>
      <c r="EG60">
        <f>'CycleRAP Model'!O59</f>
        <v>0</v>
      </c>
      <c r="EH60" s="335"/>
      <c r="GP60" s="335"/>
    </row>
    <row r="61" spans="18:198" x14ac:dyDescent="0.25">
      <c r="R61" s="335"/>
      <c r="S61" s="4" t="s">
        <v>57</v>
      </c>
      <c r="T61" s="4" t="s">
        <v>24</v>
      </c>
      <c r="U61" s="157">
        <v>1</v>
      </c>
      <c r="V61" s="157">
        <f>'CycleRAP Model'!O31</f>
        <v>1</v>
      </c>
      <c r="W61" s="162" t="b">
        <f t="shared" si="52"/>
        <v>1</v>
      </c>
      <c r="X61" s="166"/>
      <c r="Y61" s="163"/>
      <c r="Z61" s="163"/>
      <c r="AA61" s="181"/>
      <c r="AB61" s="166"/>
      <c r="AC61" s="163"/>
      <c r="AD61" s="163"/>
      <c r="AE61" s="181"/>
      <c r="AF61" s="206"/>
      <c r="AG61" s="195"/>
      <c r="AH61" s="195"/>
      <c r="AI61" s="206"/>
      <c r="AJ61" s="195"/>
      <c r="AK61" s="195"/>
      <c r="AL61" s="195"/>
      <c r="AM61" s="195"/>
      <c r="AN61" s="195"/>
      <c r="AO61" s="195"/>
      <c r="AP61" s="195"/>
      <c r="AQ61" s="195"/>
      <c r="AR61" s="195"/>
      <c r="AS61" s="195"/>
      <c r="AT61" s="195"/>
      <c r="AU61" s="195"/>
      <c r="AV61" s="206"/>
      <c r="AW61" s="195"/>
      <c r="AX61" s="195"/>
      <c r="AY61" s="195"/>
      <c r="AZ61" s="195"/>
      <c r="BA61" s="195"/>
      <c r="BB61" s="195"/>
      <c r="BC61" s="195"/>
      <c r="BD61" s="195"/>
      <c r="BE61" s="195"/>
      <c r="BF61" s="195"/>
      <c r="BG61" s="195"/>
      <c r="BH61" s="195"/>
      <c r="BI61" s="195"/>
      <c r="BJ61" s="195"/>
      <c r="BK61" s="195"/>
      <c r="BL61" s="195"/>
      <c r="BM61" s="195"/>
      <c r="BN61" s="195"/>
      <c r="BO61" s="195"/>
      <c r="BP61" s="195"/>
      <c r="BQ61" s="195"/>
      <c r="BR61" s="195"/>
      <c r="BS61" s="195"/>
      <c r="BT61" s="195"/>
      <c r="BU61" s="195"/>
      <c r="BV61" s="195"/>
      <c r="BW61" s="195"/>
      <c r="BX61" s="195"/>
      <c r="BY61" s="195"/>
      <c r="BZ61" s="195"/>
      <c r="CA61" s="195"/>
      <c r="CB61" s="201" t="b">
        <v>1</v>
      </c>
      <c r="CC61" s="195"/>
      <c r="CD61" s="195"/>
      <c r="CE61" s="195"/>
      <c r="CF61" s="195"/>
      <c r="CG61" s="195"/>
      <c r="CH61" s="195"/>
      <c r="CI61" s="195"/>
      <c r="CJ61" s="195"/>
      <c r="CK61" s="195"/>
      <c r="CL61" s="195"/>
      <c r="CM61" s="195"/>
      <c r="CN61" s="195"/>
      <c r="CO61" s="195"/>
      <c r="CP61" s="201" t="b">
        <v>1</v>
      </c>
      <c r="CQ61" s="195"/>
      <c r="CR61" s="195"/>
      <c r="CS61" s="195"/>
      <c r="CT61" s="195"/>
      <c r="CU61" s="195"/>
      <c r="CV61" s="195"/>
      <c r="CW61" s="195"/>
      <c r="CX61" s="195"/>
      <c r="CY61" s="195"/>
      <c r="CZ61" s="195"/>
      <c r="DA61" s="195"/>
      <c r="DB61" s="195"/>
      <c r="DC61" s="195"/>
      <c r="DD61" s="195"/>
      <c r="DE61" s="195"/>
      <c r="DF61" s="195"/>
      <c r="DG61" s="195"/>
      <c r="DH61" s="195"/>
      <c r="DI61" s="195"/>
      <c r="DJ61" s="195"/>
      <c r="DK61" s="195"/>
      <c r="DL61" s="195"/>
      <c r="DM61" s="195"/>
      <c r="DN61" s="195"/>
      <c r="DO61" s="195"/>
      <c r="DP61" s="195"/>
      <c r="DQ61" s="195"/>
      <c r="DR61" s="195"/>
      <c r="DS61" s="195"/>
      <c r="DT61" s="195"/>
      <c r="DU61" s="195"/>
      <c r="DV61" s="195"/>
      <c r="DW61" s="195"/>
      <c r="DX61" s="195"/>
      <c r="EB61" s="335"/>
      <c r="EF61" s="319" t="str">
        <f>'CycleRAP Model'!K60</f>
        <v>Road proximity</v>
      </c>
      <c r="EG61">
        <f ca="1">'CycleRAP Model'!O60</f>
        <v>2</v>
      </c>
      <c r="EH61" s="335"/>
      <c r="GP61" s="335"/>
    </row>
    <row r="62" spans="18:198" x14ac:dyDescent="0.25">
      <c r="R62" s="335"/>
      <c r="S62" t="str">
        <f>S61</f>
        <v>Adjacent object or level change 0-1m</v>
      </c>
      <c r="T62" t="s">
        <v>22</v>
      </c>
      <c r="U62">
        <v>2</v>
      </c>
      <c r="V62">
        <f>'CycleRAP Model'!O31</f>
        <v>1</v>
      </c>
      <c r="W62" s="158" t="b">
        <f t="shared" si="52"/>
        <v>0</v>
      </c>
      <c r="X62" s="163"/>
      <c r="Y62" s="166"/>
      <c r="Z62" s="166"/>
      <c r="AA62" s="184"/>
      <c r="AB62" s="163"/>
      <c r="AC62" s="166"/>
      <c r="AD62" s="166"/>
      <c r="AE62" s="184"/>
      <c r="AF62" s="206"/>
      <c r="AG62" s="195"/>
      <c r="AH62" s="195"/>
      <c r="AI62" s="206"/>
      <c r="AJ62" s="195"/>
      <c r="AK62" s="195"/>
      <c r="AL62" s="195"/>
      <c r="AM62" s="195"/>
      <c r="AN62" s="195"/>
      <c r="AO62" s="195"/>
      <c r="AP62" s="195"/>
      <c r="AQ62" s="195"/>
      <c r="AR62" s="195"/>
      <c r="AS62" s="195"/>
      <c r="AT62" s="195"/>
      <c r="AU62" s="195"/>
      <c r="AV62" s="206"/>
      <c r="AW62" s="195"/>
      <c r="AX62" s="195"/>
      <c r="AY62" s="195"/>
      <c r="AZ62" s="195"/>
      <c r="BA62" s="195"/>
      <c r="BB62" s="195"/>
      <c r="BC62" s="195"/>
      <c r="BD62" s="195"/>
      <c r="BE62" s="195"/>
      <c r="BF62" s="195"/>
      <c r="BG62" s="195"/>
      <c r="BH62" s="195"/>
      <c r="BI62" s="195"/>
      <c r="BJ62" s="195"/>
      <c r="BK62" s="195"/>
      <c r="BL62" s="195"/>
      <c r="BM62" s="195"/>
      <c r="BN62" s="195"/>
      <c r="BO62" s="195"/>
      <c r="BP62" s="195"/>
      <c r="BQ62" s="195"/>
      <c r="BR62" s="195"/>
      <c r="BS62" s="195"/>
      <c r="BT62" s="195"/>
      <c r="BU62" s="195"/>
      <c r="BV62" s="195"/>
      <c r="BW62" s="195"/>
      <c r="BX62" s="195"/>
      <c r="BY62" s="195"/>
      <c r="BZ62" s="195"/>
      <c r="CA62" s="195"/>
      <c r="CB62" s="195"/>
      <c r="CC62" s="195"/>
      <c r="CD62" s="195"/>
      <c r="CE62" s="195"/>
      <c r="CF62" s="195"/>
      <c r="CG62" s="195"/>
      <c r="CH62" s="195"/>
      <c r="CI62" s="195"/>
      <c r="CJ62" s="195"/>
      <c r="CK62" s="195"/>
      <c r="CL62" s="195"/>
      <c r="CM62" s="195"/>
      <c r="CN62" s="195"/>
      <c r="CO62" s="195"/>
      <c r="CP62" s="195"/>
      <c r="CQ62" s="195"/>
      <c r="CR62" s="195"/>
      <c r="CS62" s="195"/>
      <c r="CT62" s="195"/>
      <c r="CU62" s="195"/>
      <c r="CV62" s="195"/>
      <c r="CW62" s="195"/>
      <c r="CX62" s="195"/>
      <c r="CY62" s="195"/>
      <c r="CZ62" s="195"/>
      <c r="DA62" s="195"/>
      <c r="DB62" s="195"/>
      <c r="DC62" s="195"/>
      <c r="DD62" s="195"/>
      <c r="DE62" s="195"/>
      <c r="DF62" s="195"/>
      <c r="DG62" s="195"/>
      <c r="DH62" s="195"/>
      <c r="DI62" s="195"/>
      <c r="DJ62" s="195"/>
      <c r="DK62" s="195"/>
      <c r="DL62" s="195"/>
      <c r="DM62" s="195"/>
      <c r="DN62" s="195"/>
      <c r="DO62" s="195"/>
      <c r="DP62" s="195"/>
      <c r="DQ62" s="195"/>
      <c r="DR62" s="195"/>
      <c r="DS62" s="195"/>
      <c r="DT62" s="195"/>
      <c r="DU62" s="195"/>
      <c r="DV62" s="195"/>
      <c r="DW62" s="195"/>
      <c r="DX62" s="195"/>
      <c r="EB62" s="335"/>
      <c r="EF62" s="319" t="str">
        <f>'CycleRAP Model'!K61</f>
        <v>Unacessible facility - Part 1</v>
      </c>
      <c r="EG62">
        <f ca="1">'CycleRAP Model'!O61</f>
        <v>1</v>
      </c>
      <c r="EH62" s="335"/>
      <c r="GP62" s="335"/>
    </row>
    <row r="63" spans="18:198" x14ac:dyDescent="0.25">
      <c r="R63" s="335"/>
      <c r="S63" s="4" t="s">
        <v>61</v>
      </c>
      <c r="T63" s="4" t="s">
        <v>24</v>
      </c>
      <c r="U63" s="157">
        <v>1</v>
      </c>
      <c r="V63" s="157">
        <f>'CycleRAP Model'!O32</f>
        <v>1</v>
      </c>
      <c r="W63" s="162" t="b">
        <f t="shared" si="52"/>
        <v>1</v>
      </c>
      <c r="X63" s="170"/>
      <c r="Y63" s="171"/>
      <c r="Z63" s="171"/>
      <c r="AA63" s="185"/>
      <c r="AB63" s="170"/>
      <c r="AC63" s="171"/>
      <c r="AD63" s="171"/>
      <c r="AE63" s="185"/>
      <c r="AF63" s="208"/>
      <c r="AG63" s="197"/>
      <c r="AH63" s="197"/>
      <c r="AI63" s="208"/>
      <c r="AJ63" s="197"/>
      <c r="AK63" s="197"/>
      <c r="AL63" s="197"/>
      <c r="AM63" s="197"/>
      <c r="AN63" s="197"/>
      <c r="AO63" s="197"/>
      <c r="AP63" s="197"/>
      <c r="AQ63" s="197"/>
      <c r="AR63" s="197"/>
      <c r="AS63" s="197"/>
      <c r="AT63" s="197"/>
      <c r="AU63" s="197"/>
      <c r="AV63" s="208"/>
      <c r="AW63" s="197"/>
      <c r="AX63" s="197"/>
      <c r="AY63" s="197"/>
      <c r="AZ63" s="197"/>
      <c r="BA63" s="197"/>
      <c r="BB63" s="197"/>
      <c r="BC63" s="197"/>
      <c r="BD63" s="197"/>
      <c r="BE63" s="197"/>
      <c r="BF63" s="197"/>
      <c r="BG63" s="197"/>
      <c r="BH63" s="197"/>
      <c r="BI63" s="197"/>
      <c r="BJ63" s="197"/>
      <c r="BK63" s="197"/>
      <c r="BL63" s="197"/>
      <c r="BM63" s="197"/>
      <c r="BN63" s="197"/>
      <c r="BO63" s="197"/>
      <c r="BP63" s="197"/>
      <c r="BQ63" s="197"/>
      <c r="BR63" s="197"/>
      <c r="BS63" s="197"/>
      <c r="BT63" s="197"/>
      <c r="BU63" s="197"/>
      <c r="BV63" s="197"/>
      <c r="BW63" s="197"/>
      <c r="BX63" s="197"/>
      <c r="BY63" s="197"/>
      <c r="BZ63" s="197"/>
      <c r="CA63" s="197"/>
      <c r="CB63" s="197"/>
      <c r="CC63" s="197"/>
      <c r="CD63" s="197"/>
      <c r="CE63" s="197"/>
      <c r="CF63" s="197"/>
      <c r="CG63" s="197"/>
      <c r="CH63" s="197"/>
      <c r="CI63" s="197"/>
      <c r="CJ63" s="197"/>
      <c r="CK63" s="197"/>
      <c r="CL63" s="197"/>
      <c r="CM63" s="197"/>
      <c r="CN63" s="197"/>
      <c r="CO63" s="197"/>
      <c r="CP63" s="197"/>
      <c r="CQ63" s="197"/>
      <c r="CR63" s="197"/>
      <c r="CS63" s="197"/>
      <c r="CT63" s="197"/>
      <c r="CU63" s="197"/>
      <c r="CV63" s="197"/>
      <c r="CW63" s="197"/>
      <c r="CX63" s="197"/>
      <c r="CY63" s="197"/>
      <c r="CZ63" s="197"/>
      <c r="DA63" s="197"/>
      <c r="DB63" s="197"/>
      <c r="DC63" s="197"/>
      <c r="DD63" s="197"/>
      <c r="DE63" s="197"/>
      <c r="DF63" s="197"/>
      <c r="DG63" s="197"/>
      <c r="DH63" s="197"/>
      <c r="DI63" s="197"/>
      <c r="DJ63" s="197"/>
      <c r="DK63" s="197"/>
      <c r="DL63" s="197"/>
      <c r="DM63" s="197"/>
      <c r="DN63" s="197"/>
      <c r="DO63" s="197"/>
      <c r="DP63" s="197"/>
      <c r="DQ63" s="197"/>
      <c r="DR63" s="197"/>
      <c r="DS63" s="197"/>
      <c r="DT63" s="197"/>
      <c r="DU63" s="197"/>
      <c r="DV63" s="197"/>
      <c r="DW63" s="197"/>
      <c r="DX63" s="197"/>
      <c r="EB63" s="335"/>
      <c r="EF63" s="319" t="str">
        <f>'CycleRAP Model'!K62</f>
        <v>Unacessible facility - Part 2</v>
      </c>
      <c r="EG63">
        <f ca="1">'CycleRAP Model'!O62</f>
        <v>3</v>
      </c>
      <c r="EH63" s="335"/>
      <c r="GP63" s="335"/>
    </row>
    <row r="64" spans="18:198" x14ac:dyDescent="0.25">
      <c r="R64" s="335"/>
      <c r="S64" t="str">
        <f>S63</f>
        <v>Adjacent sidewalk 0-1m</v>
      </c>
      <c r="T64" t="s">
        <v>22</v>
      </c>
      <c r="U64">
        <v>2</v>
      </c>
      <c r="V64">
        <f>'CycleRAP Model'!O32</f>
        <v>1</v>
      </c>
      <c r="W64" s="158" t="b">
        <f t="shared" si="52"/>
        <v>0</v>
      </c>
      <c r="X64" s="174"/>
      <c r="Y64" s="173"/>
      <c r="Z64" s="173"/>
      <c r="AA64" s="188"/>
      <c r="AB64" s="174"/>
      <c r="AC64" s="173"/>
      <c r="AD64" s="173"/>
      <c r="AE64" s="188"/>
      <c r="AF64" s="209"/>
      <c r="AG64" s="198"/>
      <c r="AH64" s="198"/>
      <c r="AI64" s="209"/>
      <c r="AJ64" s="198"/>
      <c r="AK64" s="198"/>
      <c r="AL64" s="198"/>
      <c r="AM64" s="198"/>
      <c r="AN64" s="198"/>
      <c r="AO64" s="198"/>
      <c r="AP64" s="198"/>
      <c r="AQ64" s="198"/>
      <c r="AR64" s="198"/>
      <c r="AS64" s="198"/>
      <c r="AT64" s="198"/>
      <c r="AU64" s="198"/>
      <c r="AV64" s="209"/>
      <c r="AW64" s="198"/>
      <c r="AX64" s="198"/>
      <c r="AY64" s="198"/>
      <c r="AZ64" s="198"/>
      <c r="BA64" s="198"/>
      <c r="BB64" s="198"/>
      <c r="BC64" s="198"/>
      <c r="BD64" s="198"/>
      <c r="BE64" s="198"/>
      <c r="BF64" s="198"/>
      <c r="BG64" s="198"/>
      <c r="BH64" s="198"/>
      <c r="BI64" s="198"/>
      <c r="BJ64" s="198"/>
      <c r="BK64" s="198"/>
      <c r="BL64" s="198"/>
      <c r="BM64" s="198"/>
      <c r="BN64" s="198"/>
      <c r="BO64" s="198"/>
      <c r="BP64" s="198"/>
      <c r="BQ64" s="198"/>
      <c r="BR64" s="198"/>
      <c r="BS64" s="198"/>
      <c r="BT64" s="198"/>
      <c r="BU64" s="198"/>
      <c r="BV64" s="198"/>
      <c r="BW64" s="198"/>
      <c r="BX64" s="198"/>
      <c r="BY64" s="198"/>
      <c r="BZ64" s="198"/>
      <c r="CA64" s="198"/>
      <c r="CB64" s="198"/>
      <c r="CC64" s="198"/>
      <c r="CD64" s="198"/>
      <c r="CE64" s="198"/>
      <c r="CF64" s="198"/>
      <c r="CG64" s="198"/>
      <c r="CH64" s="198"/>
      <c r="CI64" s="198"/>
      <c r="CJ64" s="198"/>
      <c r="CK64" s="198"/>
      <c r="CL64" s="198"/>
      <c r="CM64" s="198"/>
      <c r="CN64" s="198"/>
      <c r="CO64" s="198"/>
      <c r="CP64" s="198"/>
      <c r="CQ64" s="198"/>
      <c r="CR64" s="198"/>
      <c r="CS64" s="198"/>
      <c r="CT64" s="198"/>
      <c r="CU64" s="198"/>
      <c r="CV64" s="198"/>
      <c r="CW64" s="198"/>
      <c r="CX64" s="198"/>
      <c r="CY64" s="198"/>
      <c r="CZ64" s="198"/>
      <c r="DA64" s="198"/>
      <c r="DB64" s="198"/>
      <c r="DC64" s="198"/>
      <c r="DD64" s="198"/>
      <c r="DE64" s="198"/>
      <c r="DF64" s="198"/>
      <c r="DG64" s="198"/>
      <c r="DH64" s="198"/>
      <c r="DI64" s="198"/>
      <c r="DJ64" s="198"/>
      <c r="DK64" s="198"/>
      <c r="DL64" s="198"/>
      <c r="DM64" s="198"/>
      <c r="DN64" s="198"/>
      <c r="DO64" s="198"/>
      <c r="DP64" s="198"/>
      <c r="DQ64" s="198"/>
      <c r="DR64" s="198"/>
      <c r="DS64" s="198"/>
      <c r="DT64" s="198"/>
      <c r="DU64" s="198"/>
      <c r="DV64" s="198"/>
      <c r="DW64" s="198"/>
      <c r="DX64" s="198"/>
      <c r="EB64" s="335"/>
      <c r="EH64" s="335"/>
      <c r="GP64" s="335"/>
    </row>
    <row r="65" spans="18:198" x14ac:dyDescent="0.25">
      <c r="R65" s="335"/>
      <c r="S65" s="4" t="s">
        <v>63</v>
      </c>
      <c r="T65" s="4" t="s">
        <v>24</v>
      </c>
      <c r="U65" s="157">
        <v>1</v>
      </c>
      <c r="V65" s="157">
        <f>'CycleRAP Model'!O33</f>
        <v>2</v>
      </c>
      <c r="W65" s="162" t="b">
        <f t="shared" si="52"/>
        <v>0</v>
      </c>
      <c r="X65" s="166"/>
      <c r="Y65" s="163"/>
      <c r="Z65" s="163"/>
      <c r="AA65" s="181"/>
      <c r="AB65" s="166"/>
      <c r="AC65" s="163"/>
      <c r="AD65" s="163"/>
      <c r="AE65" s="181"/>
      <c r="AF65" s="206"/>
      <c r="AG65" s="195"/>
      <c r="AH65" s="195"/>
      <c r="AI65" s="206"/>
      <c r="AJ65" s="195"/>
      <c r="AK65" s="202" t="b">
        <v>1</v>
      </c>
      <c r="AL65" s="202" t="b">
        <v>1</v>
      </c>
      <c r="AM65" s="195"/>
      <c r="AN65" s="195"/>
      <c r="AO65" s="195"/>
      <c r="AP65" s="195"/>
      <c r="AQ65" s="195"/>
      <c r="AR65" s="195"/>
      <c r="AS65" s="195"/>
      <c r="AT65" s="195"/>
      <c r="AU65" s="195"/>
      <c r="AV65" s="206"/>
      <c r="AW65" s="195"/>
      <c r="AX65" s="195"/>
      <c r="AY65" s="195"/>
      <c r="AZ65" s="195"/>
      <c r="BA65" s="195"/>
      <c r="BB65" s="195"/>
      <c r="BC65" s="195"/>
      <c r="BD65" s="195"/>
      <c r="BE65" s="195"/>
      <c r="BF65" s="195"/>
      <c r="BG65" s="195"/>
      <c r="BH65" s="195"/>
      <c r="BI65" s="195"/>
      <c r="BJ65" s="195"/>
      <c r="BK65" s="195"/>
      <c r="BL65" s="195"/>
      <c r="BM65" s="195"/>
      <c r="BN65" s="195"/>
      <c r="BO65" s="195"/>
      <c r="BP65" s="195"/>
      <c r="BQ65" s="195"/>
      <c r="BR65" s="195"/>
      <c r="BS65" s="195"/>
      <c r="BT65" s="195"/>
      <c r="BU65" s="195"/>
      <c r="BV65" s="195"/>
      <c r="BW65" s="195"/>
      <c r="BX65" s="195"/>
      <c r="BY65" s="195"/>
      <c r="BZ65" s="195"/>
      <c r="CA65" s="195"/>
      <c r="CB65" s="195"/>
      <c r="CC65" s="195"/>
      <c r="CD65" s="195"/>
      <c r="CE65" s="195"/>
      <c r="CF65" s="195"/>
      <c r="CG65" s="195"/>
      <c r="CH65" s="195"/>
      <c r="CI65" s="195"/>
      <c r="CJ65" s="195"/>
      <c r="CK65" s="195"/>
      <c r="CL65" s="195"/>
      <c r="CM65" s="195"/>
      <c r="CN65" s="195"/>
      <c r="CO65" s="195"/>
      <c r="CP65" s="195"/>
      <c r="CQ65" s="195"/>
      <c r="CR65" s="195"/>
      <c r="CS65" s="195"/>
      <c r="CT65" s="195"/>
      <c r="CU65" s="195"/>
      <c r="CV65" s="195"/>
      <c r="CW65" s="195"/>
      <c r="CX65" s="195"/>
      <c r="CY65" s="195"/>
      <c r="CZ65" s="195"/>
      <c r="DA65" s="195"/>
      <c r="DB65" s="195"/>
      <c r="DC65" s="195"/>
      <c r="DD65" s="195"/>
      <c r="DE65" s="195"/>
      <c r="DF65" s="195"/>
      <c r="DG65" s="195"/>
      <c r="DH65" s="195"/>
      <c r="DI65" s="195"/>
      <c r="DJ65" s="195"/>
      <c r="DK65" s="195"/>
      <c r="DL65" s="195"/>
      <c r="DM65" s="195"/>
      <c r="DN65" s="195"/>
      <c r="DO65" s="195"/>
      <c r="DP65" s="195"/>
      <c r="DQ65" s="195"/>
      <c r="DR65" s="195"/>
      <c r="DS65" s="195"/>
      <c r="DT65" s="195"/>
      <c r="DU65" s="195"/>
      <c r="DV65" s="195"/>
      <c r="DW65" s="195"/>
      <c r="DX65" s="195"/>
      <c r="EB65" s="335"/>
      <c r="EH65" s="335"/>
      <c r="GP65" s="335"/>
    </row>
    <row r="66" spans="18:198" x14ac:dyDescent="0.25">
      <c r="R66" s="335"/>
      <c r="S66" t="str">
        <f>S65</f>
        <v>Adjacent road lane 1-3m</v>
      </c>
      <c r="T66" t="s">
        <v>22</v>
      </c>
      <c r="U66">
        <v>2</v>
      </c>
      <c r="V66">
        <f>'CycleRAP Model'!O33</f>
        <v>2</v>
      </c>
      <c r="W66" s="158" t="b">
        <f t="shared" si="52"/>
        <v>1</v>
      </c>
      <c r="X66" s="163"/>
      <c r="Y66" s="166"/>
      <c r="Z66" s="166"/>
      <c r="AA66" s="184"/>
      <c r="AB66" s="163"/>
      <c r="AC66" s="166"/>
      <c r="AD66" s="166"/>
      <c r="AE66" s="184"/>
      <c r="AF66" s="206"/>
      <c r="AG66" s="195"/>
      <c r="AH66" s="195"/>
      <c r="AI66" s="206"/>
      <c r="AJ66" s="195"/>
      <c r="AK66" s="195"/>
      <c r="AL66" s="195"/>
      <c r="AM66" s="195"/>
      <c r="AN66" s="195"/>
      <c r="AO66" s="195"/>
      <c r="AP66" s="195"/>
      <c r="AQ66" s="195"/>
      <c r="AR66" s="195"/>
      <c r="AS66" s="195"/>
      <c r="AT66" s="195"/>
      <c r="AU66" s="195"/>
      <c r="AV66" s="206"/>
      <c r="AW66" s="195"/>
      <c r="AX66" s="195"/>
      <c r="AY66" s="195"/>
      <c r="AZ66" s="195"/>
      <c r="BA66" s="195"/>
      <c r="BB66" s="195"/>
      <c r="BC66" s="195"/>
      <c r="BD66" s="195"/>
      <c r="BE66" s="195"/>
      <c r="BF66" s="195"/>
      <c r="BG66" s="195"/>
      <c r="BH66" s="195"/>
      <c r="BI66" s="195"/>
      <c r="BJ66" s="195"/>
      <c r="BK66" s="195"/>
      <c r="BL66" s="195"/>
      <c r="BM66" s="195"/>
      <c r="BN66" s="195"/>
      <c r="BO66" s="195"/>
      <c r="BP66" s="195"/>
      <c r="BQ66" s="195"/>
      <c r="BR66" s="195"/>
      <c r="BS66" s="195"/>
      <c r="BT66" s="195"/>
      <c r="BU66" s="195"/>
      <c r="BV66" s="195"/>
      <c r="BW66" s="195"/>
      <c r="BX66" s="195"/>
      <c r="BY66" s="195"/>
      <c r="BZ66" s="195"/>
      <c r="CA66" s="195"/>
      <c r="CB66" s="195"/>
      <c r="CC66" s="195"/>
      <c r="CD66" s="195"/>
      <c r="CE66" s="195"/>
      <c r="CF66" s="195"/>
      <c r="CG66" s="195"/>
      <c r="CH66" s="195"/>
      <c r="CI66" s="195"/>
      <c r="CJ66" s="195"/>
      <c r="CK66" s="195"/>
      <c r="CL66" s="195"/>
      <c r="CM66" s="195"/>
      <c r="CN66" s="195"/>
      <c r="CO66" s="195"/>
      <c r="CP66" s="195"/>
      <c r="CQ66" s="195"/>
      <c r="CR66" s="195"/>
      <c r="CS66" s="195"/>
      <c r="CT66" s="195"/>
      <c r="CU66" s="195"/>
      <c r="CV66" s="195"/>
      <c r="CW66" s="195"/>
      <c r="CX66" s="195"/>
      <c r="CY66" s="195"/>
      <c r="CZ66" s="195"/>
      <c r="DA66" s="195"/>
      <c r="DB66" s="195"/>
      <c r="DC66" s="195"/>
      <c r="DD66" s="195"/>
      <c r="DE66" s="195"/>
      <c r="DF66" s="195"/>
      <c r="DG66" s="195"/>
      <c r="DH66" s="195"/>
      <c r="DI66" s="195"/>
      <c r="DJ66" s="195"/>
      <c r="DK66" s="195"/>
      <c r="DL66" s="195"/>
      <c r="DM66" s="195"/>
      <c r="DN66" s="195"/>
      <c r="DO66" s="195"/>
      <c r="DP66" s="195"/>
      <c r="DQ66" s="195"/>
      <c r="DR66" s="195"/>
      <c r="DS66" s="195"/>
      <c r="DT66" s="195"/>
      <c r="DU66" s="195"/>
      <c r="DV66" s="195"/>
      <c r="DW66" s="195"/>
      <c r="DX66" s="195"/>
      <c r="EB66" s="335"/>
      <c r="EH66" s="335"/>
      <c r="GP66" s="335"/>
    </row>
    <row r="67" spans="18:198" x14ac:dyDescent="0.25">
      <c r="R67" s="335"/>
      <c r="S67" s="4" t="s">
        <v>66</v>
      </c>
      <c r="T67" s="4" t="s">
        <v>24</v>
      </c>
      <c r="U67" s="157">
        <v>1</v>
      </c>
      <c r="V67" s="157">
        <f>'CycleRAP Model'!O34</f>
        <v>2</v>
      </c>
      <c r="W67" s="162" t="b">
        <f t="shared" si="52"/>
        <v>0</v>
      </c>
      <c r="X67" s="170"/>
      <c r="Y67" s="171"/>
      <c r="Z67" s="171"/>
      <c r="AA67" s="185"/>
      <c r="AB67" s="170"/>
      <c r="AC67" s="171"/>
      <c r="AD67" s="171"/>
      <c r="AE67" s="185"/>
      <c r="AF67" s="208"/>
      <c r="AG67" s="197"/>
      <c r="AH67" s="197"/>
      <c r="AI67" s="208"/>
      <c r="AJ67" s="197"/>
      <c r="AK67" s="197"/>
      <c r="AL67" s="197"/>
      <c r="AM67" s="197"/>
      <c r="AN67" s="197"/>
      <c r="AO67" s="197"/>
      <c r="AP67" s="197"/>
      <c r="AQ67" s="197"/>
      <c r="AR67" s="197"/>
      <c r="AS67" s="197"/>
      <c r="AT67" s="197"/>
      <c r="AU67" s="197"/>
      <c r="AV67" s="208"/>
      <c r="AW67" s="197"/>
      <c r="AX67" s="197"/>
      <c r="AY67" s="197"/>
      <c r="AZ67" s="197"/>
      <c r="BA67" s="197"/>
      <c r="BB67" s="197"/>
      <c r="BC67" s="197"/>
      <c r="BD67" s="197"/>
      <c r="BE67" s="197"/>
      <c r="BF67" s="197"/>
      <c r="BG67" s="197"/>
      <c r="BH67" s="197"/>
      <c r="BI67" s="197"/>
      <c r="BJ67" s="197"/>
      <c r="BK67" s="197"/>
      <c r="BL67" s="197"/>
      <c r="BM67" s="197"/>
      <c r="BN67" s="197"/>
      <c r="BO67" s="197"/>
      <c r="BP67" s="197"/>
      <c r="BQ67" s="197"/>
      <c r="BR67" s="197"/>
      <c r="BS67" s="197"/>
      <c r="BT67" s="197"/>
      <c r="BU67" s="197"/>
      <c r="BV67" s="197"/>
      <c r="BW67" s="197"/>
      <c r="BX67" s="197"/>
      <c r="BY67" s="197"/>
      <c r="BZ67" s="197"/>
      <c r="CA67" s="197"/>
      <c r="CB67" s="197"/>
      <c r="CC67" s="197"/>
      <c r="CD67" s="197"/>
      <c r="CE67" s="197"/>
      <c r="CF67" s="197"/>
      <c r="CG67" s="197"/>
      <c r="CH67" s="197"/>
      <c r="CI67" s="197"/>
      <c r="CJ67" s="197"/>
      <c r="CK67" s="197"/>
      <c r="CL67" s="197"/>
      <c r="CM67" s="197"/>
      <c r="CN67" s="197"/>
      <c r="CO67" s="197"/>
      <c r="CP67" s="197"/>
      <c r="CQ67" s="197"/>
      <c r="CR67" s="197"/>
      <c r="CS67" s="197"/>
      <c r="CT67" s="197"/>
      <c r="CU67" s="197"/>
      <c r="CV67" s="197"/>
      <c r="CW67" s="197"/>
      <c r="CX67" s="197"/>
      <c r="CY67" s="197"/>
      <c r="CZ67" s="197"/>
      <c r="DA67" s="197"/>
      <c r="DB67" s="197"/>
      <c r="DC67" s="197"/>
      <c r="DD67" s="197"/>
      <c r="DE67" s="197"/>
      <c r="DF67" s="197"/>
      <c r="DG67" s="197"/>
      <c r="DH67" s="197"/>
      <c r="DI67" s="197"/>
      <c r="DJ67" s="197"/>
      <c r="DK67" s="197"/>
      <c r="DL67" s="197"/>
      <c r="DM67" s="197"/>
      <c r="DN67" s="197"/>
      <c r="DO67" s="197"/>
      <c r="DP67" s="197"/>
      <c r="DQ67" s="197"/>
      <c r="DR67" s="197"/>
      <c r="DS67" s="197"/>
      <c r="DT67" s="197"/>
      <c r="DU67" s="197"/>
      <c r="DV67" s="197"/>
      <c r="DW67" s="197"/>
      <c r="DX67" s="197"/>
      <c r="EB67" s="335"/>
      <c r="EH67" s="335"/>
      <c r="GP67" s="335"/>
    </row>
    <row r="68" spans="18:198" x14ac:dyDescent="0.25">
      <c r="R68" s="335"/>
      <c r="S68" t="str">
        <f>S67</f>
        <v>Adjacent vehicle parking 1-3m</v>
      </c>
      <c r="T68" t="s">
        <v>22</v>
      </c>
      <c r="U68">
        <v>2</v>
      </c>
      <c r="V68">
        <f>'CycleRAP Model'!O34</f>
        <v>2</v>
      </c>
      <c r="W68" s="158" t="b">
        <f t="shared" si="52"/>
        <v>1</v>
      </c>
      <c r="X68" s="174"/>
      <c r="Y68" s="173"/>
      <c r="Z68" s="173"/>
      <c r="AA68" s="188"/>
      <c r="AB68" s="174"/>
      <c r="AC68" s="173"/>
      <c r="AD68" s="173"/>
      <c r="AE68" s="188"/>
      <c r="AF68" s="209"/>
      <c r="AG68" s="198"/>
      <c r="AH68" s="198"/>
      <c r="AI68" s="209"/>
      <c r="AJ68" s="198"/>
      <c r="AK68" s="198"/>
      <c r="AL68" s="198"/>
      <c r="AM68" s="198"/>
      <c r="AN68" s="198"/>
      <c r="AO68" s="198"/>
      <c r="AP68" s="198"/>
      <c r="AQ68" s="198"/>
      <c r="AR68" s="198"/>
      <c r="AS68" s="198"/>
      <c r="AT68" s="198"/>
      <c r="AU68" s="198"/>
      <c r="AV68" s="209"/>
      <c r="AW68" s="198"/>
      <c r="AX68" s="198"/>
      <c r="AY68" s="198"/>
      <c r="AZ68" s="198"/>
      <c r="BA68" s="198"/>
      <c r="BB68" s="198"/>
      <c r="BC68" s="198"/>
      <c r="BD68" s="198"/>
      <c r="BE68" s="198"/>
      <c r="BF68" s="198"/>
      <c r="BG68" s="198"/>
      <c r="BH68" s="198"/>
      <c r="BI68" s="198"/>
      <c r="BJ68" s="198"/>
      <c r="BK68" s="198"/>
      <c r="BL68" s="198"/>
      <c r="BM68" s="198"/>
      <c r="BN68" s="198"/>
      <c r="BO68" s="198"/>
      <c r="BP68" s="198"/>
      <c r="BQ68" s="198"/>
      <c r="BR68" s="198"/>
      <c r="BS68" s="198"/>
      <c r="BT68" s="198"/>
      <c r="BU68" s="198"/>
      <c r="BV68" s="198"/>
      <c r="BW68" s="198"/>
      <c r="BX68" s="198"/>
      <c r="BY68" s="198"/>
      <c r="BZ68" s="198"/>
      <c r="CA68" s="198"/>
      <c r="CB68" s="198"/>
      <c r="CC68" s="198"/>
      <c r="CD68" s="198"/>
      <c r="CE68" s="198"/>
      <c r="CF68" s="198"/>
      <c r="CG68" s="198"/>
      <c r="CH68" s="198"/>
      <c r="CI68" s="198"/>
      <c r="CJ68" s="198"/>
      <c r="CK68" s="198"/>
      <c r="CL68" s="198"/>
      <c r="CM68" s="198"/>
      <c r="CN68" s="198"/>
      <c r="CO68" s="198"/>
      <c r="CP68" s="198"/>
      <c r="CQ68" s="198"/>
      <c r="CR68" s="198"/>
      <c r="CS68" s="198"/>
      <c r="CT68" s="198"/>
      <c r="CU68" s="198"/>
      <c r="CV68" s="198"/>
      <c r="CW68" s="198"/>
      <c r="CX68" s="198"/>
      <c r="CY68" s="198"/>
      <c r="CZ68" s="198"/>
      <c r="DA68" s="198"/>
      <c r="DB68" s="198"/>
      <c r="DC68" s="198"/>
      <c r="DD68" s="198"/>
      <c r="DE68" s="198"/>
      <c r="DF68" s="198"/>
      <c r="DG68" s="198"/>
      <c r="DH68" s="198"/>
      <c r="DI68" s="198"/>
      <c r="DJ68" s="198"/>
      <c r="DK68" s="198"/>
      <c r="DL68" s="198"/>
      <c r="DM68" s="198"/>
      <c r="DN68" s="198"/>
      <c r="DO68" s="198"/>
      <c r="DP68" s="198"/>
      <c r="DQ68" s="198"/>
      <c r="DR68" s="198"/>
      <c r="DS68" s="198"/>
      <c r="DT68" s="198"/>
      <c r="DU68" s="198"/>
      <c r="DV68" s="198"/>
      <c r="DW68" s="198"/>
      <c r="DX68" s="198"/>
      <c r="EB68" s="335"/>
      <c r="EH68" s="335"/>
      <c r="GP68" s="335"/>
    </row>
    <row r="69" spans="18:198" x14ac:dyDescent="0.25">
      <c r="R69" s="335"/>
      <c r="S69" s="4" t="s">
        <v>68</v>
      </c>
      <c r="T69" s="4" t="s">
        <v>24</v>
      </c>
      <c r="U69" s="157">
        <v>1</v>
      </c>
      <c r="V69" s="157">
        <f>'CycleRAP Model'!O35</f>
        <v>2</v>
      </c>
      <c r="W69" s="162" t="b">
        <f t="shared" si="52"/>
        <v>0</v>
      </c>
      <c r="X69" s="166"/>
      <c r="Y69" s="163"/>
      <c r="Z69" s="163"/>
      <c r="AA69" s="181"/>
      <c r="AB69" s="166"/>
      <c r="AC69" s="163"/>
      <c r="AD69" s="163"/>
      <c r="AE69" s="181"/>
      <c r="AF69" s="206"/>
      <c r="AG69" s="195"/>
      <c r="AH69" s="195"/>
      <c r="AI69" s="206"/>
      <c r="AJ69" s="195"/>
      <c r="AK69" s="195"/>
      <c r="AL69" s="195"/>
      <c r="AM69" s="195"/>
      <c r="AN69" s="195"/>
      <c r="AO69" s="195"/>
      <c r="AP69" s="195"/>
      <c r="AQ69" s="195"/>
      <c r="AR69" s="195"/>
      <c r="AS69" s="195"/>
      <c r="AT69" s="195"/>
      <c r="AU69" s="195"/>
      <c r="AV69" s="206"/>
      <c r="AW69" s="195"/>
      <c r="AX69" s="195"/>
      <c r="AY69" s="195"/>
      <c r="AZ69" s="195"/>
      <c r="BA69" s="195"/>
      <c r="BB69" s="195"/>
      <c r="BC69" s="195"/>
      <c r="BD69" s="195"/>
      <c r="BE69" s="195"/>
      <c r="BF69" s="195"/>
      <c r="BG69" s="195"/>
      <c r="BH69" s="195"/>
      <c r="BI69" s="195"/>
      <c r="BJ69" s="195"/>
      <c r="BK69" s="195"/>
      <c r="BL69" s="195"/>
      <c r="BM69" s="195"/>
      <c r="BN69" s="195"/>
      <c r="BO69" s="195"/>
      <c r="BP69" s="195"/>
      <c r="BQ69" s="195"/>
      <c r="BR69" s="195"/>
      <c r="BS69" s="195"/>
      <c r="BT69" s="195"/>
      <c r="BU69" s="195"/>
      <c r="BV69" s="195"/>
      <c r="BW69" s="195"/>
      <c r="BX69" s="195"/>
      <c r="BY69" s="195"/>
      <c r="BZ69" s="195"/>
      <c r="CA69" s="201" t="b">
        <v>1</v>
      </c>
      <c r="CB69" s="195"/>
      <c r="CC69" s="195"/>
      <c r="CD69" s="195"/>
      <c r="CE69" s="195"/>
      <c r="CF69" s="195"/>
      <c r="CG69" s="195"/>
      <c r="CH69" s="195"/>
      <c r="CI69" s="195"/>
      <c r="CJ69" s="195"/>
      <c r="CK69" s="195"/>
      <c r="CL69" s="201" t="b">
        <v>1</v>
      </c>
      <c r="CM69" s="201" t="b">
        <v>1</v>
      </c>
      <c r="CN69" s="229" t="b">
        <v>1</v>
      </c>
      <c r="CO69" s="195"/>
      <c r="CP69" s="195"/>
      <c r="CQ69" s="195"/>
      <c r="CR69" s="195"/>
      <c r="CS69" s="195"/>
      <c r="CT69" s="195"/>
      <c r="CU69" s="195"/>
      <c r="CV69" s="195"/>
      <c r="CW69" s="195"/>
      <c r="CX69" s="195"/>
      <c r="CY69" s="195"/>
      <c r="CZ69" s="195"/>
      <c r="DA69" s="195"/>
      <c r="DB69" s="195"/>
      <c r="DC69" s="195"/>
      <c r="DD69" s="195"/>
      <c r="DE69" s="195"/>
      <c r="DF69" s="195"/>
      <c r="DG69" s="195"/>
      <c r="DH69" s="195"/>
      <c r="DI69" s="195"/>
      <c r="DJ69" s="195"/>
      <c r="DK69" s="195"/>
      <c r="DL69" s="195"/>
      <c r="DM69" s="195"/>
      <c r="DN69" s="195"/>
      <c r="DO69" s="195"/>
      <c r="DP69" s="195"/>
      <c r="DQ69" s="195"/>
      <c r="DR69" s="195"/>
      <c r="DS69" s="195"/>
      <c r="DT69" s="195"/>
      <c r="DU69" s="195"/>
      <c r="DV69" s="195"/>
      <c r="DW69" s="195"/>
      <c r="DX69" s="195"/>
      <c r="EB69" s="335"/>
      <c r="EH69" s="335"/>
      <c r="GP69" s="335"/>
    </row>
    <row r="70" spans="18:198" x14ac:dyDescent="0.25">
      <c r="R70" s="335"/>
      <c r="S70" t="str">
        <f>S69</f>
        <v>Adjacent severe hazard 1-3m</v>
      </c>
      <c r="T70" t="s">
        <v>22</v>
      </c>
      <c r="U70">
        <v>2</v>
      </c>
      <c r="V70">
        <f>'CycleRAP Model'!O35</f>
        <v>2</v>
      </c>
      <c r="W70" s="158" t="b">
        <f t="shared" si="52"/>
        <v>1</v>
      </c>
      <c r="X70" s="163"/>
      <c r="Y70" s="166"/>
      <c r="Z70" s="166"/>
      <c r="AA70" s="184"/>
      <c r="AB70" s="163"/>
      <c r="AC70" s="166"/>
      <c r="AD70" s="166"/>
      <c r="AE70" s="184"/>
      <c r="AF70" s="206"/>
      <c r="AG70" s="195"/>
      <c r="AH70" s="195"/>
      <c r="AI70" s="206"/>
      <c r="AJ70" s="195"/>
      <c r="AK70" s="195"/>
      <c r="AL70" s="195"/>
      <c r="AM70" s="195"/>
      <c r="AN70" s="195"/>
      <c r="AO70" s="195"/>
      <c r="AP70" s="195"/>
      <c r="AQ70" s="195"/>
      <c r="AR70" s="195"/>
      <c r="AS70" s="195"/>
      <c r="AT70" s="195"/>
      <c r="AU70" s="195"/>
      <c r="AV70" s="206"/>
      <c r="AW70" s="195"/>
      <c r="AX70" s="195"/>
      <c r="AY70" s="195"/>
      <c r="AZ70" s="195"/>
      <c r="BA70" s="195"/>
      <c r="BB70" s="195"/>
      <c r="BC70" s="195"/>
      <c r="BD70" s="195"/>
      <c r="BE70" s="195"/>
      <c r="BF70" s="195"/>
      <c r="BG70" s="195"/>
      <c r="BH70" s="195"/>
      <c r="BI70" s="195"/>
      <c r="BJ70" s="195"/>
      <c r="BK70" s="195"/>
      <c r="BL70" s="195"/>
      <c r="BM70" s="195"/>
      <c r="BN70" s="195"/>
      <c r="BO70" s="195"/>
      <c r="BP70" s="195"/>
      <c r="BQ70" s="195"/>
      <c r="BR70" s="195"/>
      <c r="BS70" s="195"/>
      <c r="BT70" s="195"/>
      <c r="BU70" s="195"/>
      <c r="BV70" s="195"/>
      <c r="BW70" s="195"/>
      <c r="BX70" s="195"/>
      <c r="BY70" s="195"/>
      <c r="BZ70" s="195"/>
      <c r="CA70" s="195"/>
      <c r="CB70" s="195"/>
      <c r="CC70" s="195"/>
      <c r="CD70" s="195"/>
      <c r="CE70" s="195"/>
      <c r="CF70" s="195"/>
      <c r="CG70" s="195"/>
      <c r="CH70" s="195"/>
      <c r="CI70" s="195"/>
      <c r="CJ70" s="195"/>
      <c r="CK70" s="195"/>
      <c r="CL70" s="195"/>
      <c r="CM70" s="195"/>
      <c r="CN70" s="195"/>
      <c r="CO70" s="195"/>
      <c r="CP70" s="195"/>
      <c r="CQ70" s="195"/>
      <c r="CR70" s="195"/>
      <c r="CS70" s="195"/>
      <c r="CT70" s="195"/>
      <c r="CU70" s="195"/>
      <c r="CV70" s="195"/>
      <c r="CW70" s="195"/>
      <c r="CX70" s="195"/>
      <c r="CY70" s="195"/>
      <c r="CZ70" s="195"/>
      <c r="DA70" s="195"/>
      <c r="DB70" s="195"/>
      <c r="DC70" s="195"/>
      <c r="DD70" s="195"/>
      <c r="DE70" s="195"/>
      <c r="DF70" s="195"/>
      <c r="DG70" s="195"/>
      <c r="DH70" s="195"/>
      <c r="DI70" s="195"/>
      <c r="DJ70" s="195"/>
      <c r="DK70" s="195"/>
      <c r="DL70" s="195"/>
      <c r="DM70" s="195"/>
      <c r="DN70" s="195"/>
      <c r="DO70" s="195"/>
      <c r="DP70" s="195"/>
      <c r="DQ70" s="195"/>
      <c r="DR70" s="195"/>
      <c r="DS70" s="195"/>
      <c r="DT70" s="195"/>
      <c r="DU70" s="195"/>
      <c r="DV70" s="195"/>
      <c r="DW70" s="195"/>
      <c r="DX70" s="195"/>
      <c r="EB70" s="335"/>
      <c r="EH70" s="335"/>
      <c r="GP70" s="335"/>
    </row>
    <row r="71" spans="18:198" x14ac:dyDescent="0.25">
      <c r="R71" s="335"/>
      <c r="S71" s="4" t="s">
        <v>71</v>
      </c>
      <c r="T71" s="4" t="s">
        <v>24</v>
      </c>
      <c r="U71" s="157">
        <v>1</v>
      </c>
      <c r="V71" s="157">
        <f>'CycleRAP Model'!O36</f>
        <v>2</v>
      </c>
      <c r="W71" s="162" t="b">
        <f t="shared" si="52"/>
        <v>0</v>
      </c>
      <c r="X71" s="170"/>
      <c r="Y71" s="171"/>
      <c r="Z71" s="171"/>
      <c r="AA71" s="185"/>
      <c r="AB71" s="170"/>
      <c r="AC71" s="171"/>
      <c r="AD71" s="171"/>
      <c r="AE71" s="185"/>
      <c r="AF71" s="208"/>
      <c r="AG71" s="197"/>
      <c r="AH71" s="197"/>
      <c r="AI71" s="208"/>
      <c r="AJ71" s="197"/>
      <c r="AK71" s="197"/>
      <c r="AL71" s="197"/>
      <c r="AM71" s="197"/>
      <c r="AN71" s="197"/>
      <c r="AO71" s="197"/>
      <c r="AP71" s="197"/>
      <c r="AQ71" s="197"/>
      <c r="AR71" s="197"/>
      <c r="AS71" s="197"/>
      <c r="AT71" s="197"/>
      <c r="AU71" s="197"/>
      <c r="AV71" s="208"/>
      <c r="AW71" s="197"/>
      <c r="AX71" s="197"/>
      <c r="AY71" s="197"/>
      <c r="AZ71" s="197"/>
      <c r="BA71" s="197"/>
      <c r="BB71" s="197"/>
      <c r="BC71" s="197"/>
      <c r="BD71" s="197"/>
      <c r="BE71" s="197"/>
      <c r="BF71" s="197"/>
      <c r="BG71" s="197"/>
      <c r="BH71" s="197"/>
      <c r="BI71" s="197"/>
      <c r="BJ71" s="197"/>
      <c r="BK71" s="197"/>
      <c r="BL71" s="197"/>
      <c r="BM71" s="197"/>
      <c r="BN71" s="197"/>
      <c r="BO71" s="197"/>
      <c r="BP71" s="197"/>
      <c r="BQ71" s="197"/>
      <c r="BR71" s="197"/>
      <c r="BS71" s="197"/>
      <c r="BT71" s="197"/>
      <c r="BU71" s="197"/>
      <c r="BV71" s="197"/>
      <c r="BW71" s="197"/>
      <c r="BX71" s="197"/>
      <c r="BY71" s="197"/>
      <c r="BZ71" s="197"/>
      <c r="CA71" s="197"/>
      <c r="CB71" s="197"/>
      <c r="CC71" s="202" t="b">
        <v>1</v>
      </c>
      <c r="CD71" s="197"/>
      <c r="CE71" s="197"/>
      <c r="CF71" s="197"/>
      <c r="CG71" s="197"/>
      <c r="CH71" s="197"/>
      <c r="CI71" s="197"/>
      <c r="CJ71" s="197"/>
      <c r="CK71" s="197"/>
      <c r="CL71" s="197"/>
      <c r="CM71" s="197"/>
      <c r="CN71" s="197"/>
      <c r="CO71" s="197"/>
      <c r="CP71" s="197"/>
      <c r="CQ71" s="197"/>
      <c r="CR71" s="197"/>
      <c r="CS71" s="197"/>
      <c r="CT71" s="197"/>
      <c r="CU71" s="197"/>
      <c r="CV71" s="197"/>
      <c r="CW71" s="197"/>
      <c r="CX71" s="197"/>
      <c r="CY71" s="197"/>
      <c r="CZ71" s="197"/>
      <c r="DA71" s="197"/>
      <c r="DB71" s="197"/>
      <c r="DC71" s="197"/>
      <c r="DD71" s="197"/>
      <c r="DE71" s="197"/>
      <c r="DF71" s="197"/>
      <c r="DG71" s="197"/>
      <c r="DH71" s="197"/>
      <c r="DI71" s="197"/>
      <c r="DJ71" s="197"/>
      <c r="DK71" s="197"/>
      <c r="DL71" s="197"/>
      <c r="DM71" s="197"/>
      <c r="DN71" s="197"/>
      <c r="DO71" s="197"/>
      <c r="DP71" s="197"/>
      <c r="DQ71" s="197"/>
      <c r="DR71" s="197"/>
      <c r="DS71" s="197"/>
      <c r="DT71" s="197"/>
      <c r="DU71" s="197"/>
      <c r="DV71" s="197"/>
      <c r="DW71" s="197"/>
      <c r="DX71" s="197"/>
      <c r="EB71" s="335"/>
      <c r="EH71" s="335"/>
      <c r="GP71" s="335"/>
    </row>
    <row r="72" spans="18:198" x14ac:dyDescent="0.25">
      <c r="R72" s="335"/>
      <c r="S72" t="str">
        <f>S71</f>
        <v>Adjacent object or level change 1-3m</v>
      </c>
      <c r="T72" t="s">
        <v>22</v>
      </c>
      <c r="U72">
        <v>2</v>
      </c>
      <c r="V72">
        <f>'CycleRAP Model'!O36</f>
        <v>2</v>
      </c>
      <c r="W72" s="158" t="b">
        <f t="shared" si="52"/>
        <v>1</v>
      </c>
      <c r="X72" s="174"/>
      <c r="Y72" s="173"/>
      <c r="Z72" s="173"/>
      <c r="AA72" s="188"/>
      <c r="AB72" s="174"/>
      <c r="AC72" s="173"/>
      <c r="AD72" s="173"/>
      <c r="AE72" s="188"/>
      <c r="AF72" s="209"/>
      <c r="AG72" s="198"/>
      <c r="AH72" s="198"/>
      <c r="AI72" s="209"/>
      <c r="AJ72" s="198"/>
      <c r="AK72" s="198"/>
      <c r="AL72" s="198"/>
      <c r="AM72" s="198"/>
      <c r="AN72" s="198"/>
      <c r="AO72" s="198"/>
      <c r="AP72" s="198"/>
      <c r="AQ72" s="198"/>
      <c r="AR72" s="198"/>
      <c r="AS72" s="198"/>
      <c r="AT72" s="198"/>
      <c r="AU72" s="198"/>
      <c r="AV72" s="209"/>
      <c r="AW72" s="198"/>
      <c r="AX72" s="198"/>
      <c r="AY72" s="198"/>
      <c r="AZ72" s="198"/>
      <c r="BA72" s="198"/>
      <c r="BB72" s="198"/>
      <c r="BC72" s="198"/>
      <c r="BD72" s="198"/>
      <c r="BE72" s="198"/>
      <c r="BF72" s="198"/>
      <c r="BG72" s="198"/>
      <c r="BH72" s="198"/>
      <c r="BI72" s="198"/>
      <c r="BJ72" s="198"/>
      <c r="BK72" s="198"/>
      <c r="BL72" s="198"/>
      <c r="BM72" s="198"/>
      <c r="BN72" s="198"/>
      <c r="BO72" s="198"/>
      <c r="BP72" s="198"/>
      <c r="BQ72" s="198"/>
      <c r="BR72" s="198"/>
      <c r="BS72" s="198"/>
      <c r="BT72" s="198"/>
      <c r="BU72" s="198"/>
      <c r="BV72" s="198"/>
      <c r="BW72" s="198"/>
      <c r="BX72" s="198"/>
      <c r="BY72" s="198"/>
      <c r="BZ72" s="198"/>
      <c r="CA72" s="198"/>
      <c r="CB72" s="198"/>
      <c r="CC72" s="198"/>
      <c r="CD72" s="198"/>
      <c r="CE72" s="198"/>
      <c r="CF72" s="198"/>
      <c r="CG72" s="198"/>
      <c r="CH72" s="198"/>
      <c r="CI72" s="198"/>
      <c r="CJ72" s="198"/>
      <c r="CK72" s="198"/>
      <c r="CL72" s="198"/>
      <c r="CM72" s="198"/>
      <c r="CN72" s="198"/>
      <c r="CO72" s="198"/>
      <c r="CP72" s="198"/>
      <c r="CQ72" s="198"/>
      <c r="CR72" s="198"/>
      <c r="CS72" s="198"/>
      <c r="CT72" s="198"/>
      <c r="CU72" s="198"/>
      <c r="CV72" s="198"/>
      <c r="CW72" s="198"/>
      <c r="CX72" s="198"/>
      <c r="CY72" s="198"/>
      <c r="CZ72" s="198"/>
      <c r="DA72" s="198"/>
      <c r="DB72" s="198"/>
      <c r="DC72" s="198"/>
      <c r="DD72" s="198"/>
      <c r="DE72" s="198"/>
      <c r="DF72" s="198"/>
      <c r="DG72" s="198"/>
      <c r="DH72" s="198"/>
      <c r="DI72" s="198"/>
      <c r="DJ72" s="198"/>
      <c r="DK72" s="198"/>
      <c r="DL72" s="198"/>
      <c r="DM72" s="198"/>
      <c r="DN72" s="198"/>
      <c r="DO72" s="198"/>
      <c r="DP72" s="198"/>
      <c r="DQ72" s="198"/>
      <c r="DR72" s="198"/>
      <c r="DS72" s="198"/>
      <c r="DT72" s="198"/>
      <c r="DU72" s="198"/>
      <c r="DV72" s="198"/>
      <c r="DW72" s="198"/>
      <c r="DX72" s="198"/>
      <c r="EB72" s="335"/>
      <c r="EH72" s="335"/>
      <c r="GP72" s="335"/>
    </row>
    <row r="73" spans="18:198" x14ac:dyDescent="0.25">
      <c r="R73" s="335"/>
      <c r="S73" s="4" t="s">
        <v>72</v>
      </c>
      <c r="T73" s="4" t="s">
        <v>24</v>
      </c>
      <c r="U73" s="157">
        <v>1</v>
      </c>
      <c r="V73" s="157">
        <f>'CycleRAP Model'!O37</f>
        <v>2</v>
      </c>
      <c r="W73" s="162" t="b">
        <f t="shared" si="52"/>
        <v>0</v>
      </c>
      <c r="X73" s="166"/>
      <c r="Y73" s="163"/>
      <c r="Z73" s="163"/>
      <c r="AA73" s="181"/>
      <c r="AB73" s="166"/>
      <c r="AC73" s="163"/>
      <c r="AD73" s="163"/>
      <c r="AE73" s="181"/>
      <c r="AF73" s="206"/>
      <c r="AG73" s="195"/>
      <c r="AH73" s="195"/>
      <c r="AI73" s="206"/>
      <c r="AJ73" s="195"/>
      <c r="AK73" s="195"/>
      <c r="AL73" s="195"/>
      <c r="AM73" s="195"/>
      <c r="AN73" s="195"/>
      <c r="AO73" s="195"/>
      <c r="AP73" s="195"/>
      <c r="AQ73" s="195"/>
      <c r="AR73" s="195"/>
      <c r="AS73" s="195"/>
      <c r="AT73" s="195"/>
      <c r="AU73" s="195"/>
      <c r="AV73" s="206"/>
      <c r="AW73" s="195"/>
      <c r="AX73" s="195"/>
      <c r="AY73" s="195"/>
      <c r="AZ73" s="195"/>
      <c r="BA73" s="195"/>
      <c r="BB73" s="195"/>
      <c r="BC73" s="195"/>
      <c r="BD73" s="195"/>
      <c r="BE73" s="195"/>
      <c r="BF73" s="195"/>
      <c r="BG73" s="195"/>
      <c r="BH73" s="195"/>
      <c r="BI73" s="195"/>
      <c r="BJ73" s="195"/>
      <c r="BK73" s="195"/>
      <c r="BL73" s="195"/>
      <c r="BM73" s="195"/>
      <c r="BN73" s="195"/>
      <c r="BO73" s="195"/>
      <c r="BP73" s="195"/>
      <c r="BQ73" s="195"/>
      <c r="BR73" s="195"/>
      <c r="BS73" s="195"/>
      <c r="BT73" s="195"/>
      <c r="BU73" s="195"/>
      <c r="BV73" s="195"/>
      <c r="BW73" s="195"/>
      <c r="BX73" s="195"/>
      <c r="BY73" s="195"/>
      <c r="BZ73" s="195"/>
      <c r="CA73" s="195"/>
      <c r="CB73" s="195"/>
      <c r="CC73" s="195"/>
      <c r="CD73" s="195"/>
      <c r="CE73" s="195"/>
      <c r="CF73" s="195"/>
      <c r="CG73" s="195"/>
      <c r="CH73" s="195"/>
      <c r="CI73" s="195"/>
      <c r="CJ73" s="195"/>
      <c r="CK73" s="195"/>
      <c r="CL73" s="195"/>
      <c r="CM73" s="195"/>
      <c r="CN73" s="195"/>
      <c r="CO73" s="195"/>
      <c r="CP73" s="195"/>
      <c r="CQ73" s="195"/>
      <c r="CR73" s="195"/>
      <c r="CS73" s="195"/>
      <c r="CT73" s="195"/>
      <c r="CU73" s="195"/>
      <c r="CV73" s="195"/>
      <c r="CW73" s="195"/>
      <c r="CX73" s="195"/>
      <c r="CY73" s="195"/>
      <c r="CZ73" s="195"/>
      <c r="DA73" s="195"/>
      <c r="DB73" s="195"/>
      <c r="DC73" s="195"/>
      <c r="DD73" s="195"/>
      <c r="DE73" s="195"/>
      <c r="DF73" s="195"/>
      <c r="DG73" s="195"/>
      <c r="DH73" s="195"/>
      <c r="DI73" s="195"/>
      <c r="DJ73" s="195"/>
      <c r="DK73" s="195"/>
      <c r="DL73" s="195"/>
      <c r="DM73" s="195"/>
      <c r="DN73" s="195"/>
      <c r="DO73" s="195"/>
      <c r="DP73" s="195"/>
      <c r="DQ73" s="195"/>
      <c r="DR73" s="195"/>
      <c r="DS73" s="195"/>
      <c r="DT73" s="195"/>
      <c r="DU73" s="195"/>
      <c r="DV73" s="195"/>
      <c r="DW73" s="195"/>
      <c r="DX73" s="195"/>
      <c r="EB73" s="335"/>
      <c r="EH73" s="335"/>
      <c r="GP73" s="335"/>
    </row>
    <row r="74" spans="18:198" x14ac:dyDescent="0.25">
      <c r="R74" s="335"/>
      <c r="S74" t="str">
        <f>S73</f>
        <v>Adjacent sidewalk 1-3m</v>
      </c>
      <c r="T74" t="s">
        <v>22</v>
      </c>
      <c r="U74">
        <v>2</v>
      </c>
      <c r="V74">
        <f>'CycleRAP Model'!O37</f>
        <v>2</v>
      </c>
      <c r="W74" s="158" t="b">
        <f t="shared" si="52"/>
        <v>1</v>
      </c>
      <c r="X74" s="163"/>
      <c r="Y74" s="166"/>
      <c r="Z74" s="166"/>
      <c r="AA74" s="184"/>
      <c r="AB74" s="163"/>
      <c r="AC74" s="166"/>
      <c r="AD74" s="166"/>
      <c r="AE74" s="184"/>
      <c r="AF74" s="206"/>
      <c r="AG74" s="195"/>
      <c r="AH74" s="195"/>
      <c r="AI74" s="206"/>
      <c r="AJ74" s="195"/>
      <c r="AK74" s="195"/>
      <c r="AL74" s="195"/>
      <c r="AM74" s="195"/>
      <c r="AN74" s="195"/>
      <c r="AO74" s="195"/>
      <c r="AP74" s="195"/>
      <c r="AQ74" s="195"/>
      <c r="AR74" s="195"/>
      <c r="AS74" s="195"/>
      <c r="AT74" s="195"/>
      <c r="AU74" s="195"/>
      <c r="AV74" s="206"/>
      <c r="AW74" s="195"/>
      <c r="AX74" s="195"/>
      <c r="AY74" s="195"/>
      <c r="AZ74" s="195"/>
      <c r="BA74" s="195"/>
      <c r="BB74" s="195"/>
      <c r="BC74" s="195"/>
      <c r="BD74" s="195"/>
      <c r="BE74" s="195"/>
      <c r="BF74" s="195"/>
      <c r="BG74" s="195"/>
      <c r="BH74" s="195"/>
      <c r="BI74" s="195"/>
      <c r="BJ74" s="195"/>
      <c r="BK74" s="195"/>
      <c r="BL74" s="195"/>
      <c r="BM74" s="195"/>
      <c r="BN74" s="195"/>
      <c r="BO74" s="195"/>
      <c r="BP74" s="195"/>
      <c r="BQ74" s="195"/>
      <c r="BR74" s="195"/>
      <c r="BS74" s="195"/>
      <c r="BT74" s="195"/>
      <c r="BU74" s="195"/>
      <c r="BV74" s="195"/>
      <c r="BW74" s="195"/>
      <c r="BX74" s="195"/>
      <c r="BY74" s="195"/>
      <c r="BZ74" s="195"/>
      <c r="CA74" s="195"/>
      <c r="CB74" s="195"/>
      <c r="CC74" s="195"/>
      <c r="CD74" s="195"/>
      <c r="CE74" s="195"/>
      <c r="CF74" s="195"/>
      <c r="CG74" s="195"/>
      <c r="CH74" s="195"/>
      <c r="CI74" s="195"/>
      <c r="CJ74" s="195"/>
      <c r="CK74" s="195"/>
      <c r="CL74" s="195"/>
      <c r="CM74" s="195"/>
      <c r="CN74" s="195"/>
      <c r="CO74" s="195"/>
      <c r="CP74" s="195"/>
      <c r="CQ74" s="195"/>
      <c r="CR74" s="195"/>
      <c r="CS74" s="195"/>
      <c r="CT74" s="195"/>
      <c r="CU74" s="195"/>
      <c r="CV74" s="195"/>
      <c r="CW74" s="195"/>
      <c r="CX74" s="195"/>
      <c r="CY74" s="195"/>
      <c r="CZ74" s="195"/>
      <c r="DA74" s="195"/>
      <c r="DB74" s="195"/>
      <c r="DC74" s="195"/>
      <c r="DD74" s="195"/>
      <c r="DE74" s="195"/>
      <c r="DF74" s="195"/>
      <c r="DG74" s="195"/>
      <c r="DH74" s="195"/>
      <c r="DI74" s="195"/>
      <c r="DJ74" s="195"/>
      <c r="DK74" s="195"/>
      <c r="DL74" s="195"/>
      <c r="DM74" s="195"/>
      <c r="DN74" s="195"/>
      <c r="DO74" s="195"/>
      <c r="DP74" s="195"/>
      <c r="DQ74" s="195"/>
      <c r="DR74" s="195"/>
      <c r="DS74" s="195"/>
      <c r="DT74" s="195"/>
      <c r="DU74" s="195"/>
      <c r="DV74" s="195"/>
      <c r="DW74" s="195"/>
      <c r="DX74" s="195"/>
      <c r="EB74" s="335"/>
      <c r="EH74" s="335"/>
      <c r="GP74" s="335"/>
    </row>
    <row r="75" spans="18:198" x14ac:dyDescent="0.25">
      <c r="R75" s="335"/>
      <c r="S75" s="4" t="s">
        <v>13</v>
      </c>
      <c r="T75" s="4" t="s">
        <v>204</v>
      </c>
      <c r="U75" s="157">
        <v>1</v>
      </c>
      <c r="V75" s="157">
        <f>'CycleRAP Model'!O38</f>
        <v>1</v>
      </c>
      <c r="W75" s="162" t="b">
        <f t="shared" si="52"/>
        <v>1</v>
      </c>
      <c r="X75" s="170"/>
      <c r="Y75" s="171"/>
      <c r="Z75" s="171"/>
      <c r="AA75" s="185"/>
      <c r="AB75" s="170"/>
      <c r="AC75" s="171"/>
      <c r="AD75" s="171"/>
      <c r="AE75" s="185"/>
      <c r="AF75" s="208"/>
      <c r="AG75" s="197"/>
      <c r="AH75" s="197"/>
      <c r="AI75" s="208"/>
      <c r="AJ75" s="197"/>
      <c r="AK75" s="197"/>
      <c r="AL75" s="197"/>
      <c r="AM75" s="197"/>
      <c r="AN75" s="197"/>
      <c r="AO75" s="197"/>
      <c r="AP75" s="197"/>
      <c r="AQ75" s="197"/>
      <c r="AR75" s="197"/>
      <c r="AS75" s="197"/>
      <c r="AT75" s="197"/>
      <c r="AU75" s="197"/>
      <c r="AV75" s="208"/>
      <c r="AW75" s="197"/>
      <c r="AX75" s="197"/>
      <c r="AY75" s="197"/>
      <c r="AZ75" s="197"/>
      <c r="BA75" s="197"/>
      <c r="BB75" s="197"/>
      <c r="BC75" s="197"/>
      <c r="BD75" s="197"/>
      <c r="BE75" s="197"/>
      <c r="BF75" s="197"/>
      <c r="BG75" s="197"/>
      <c r="BH75" s="197"/>
      <c r="BI75" s="197"/>
      <c r="BJ75" s="197"/>
      <c r="BK75" s="197"/>
      <c r="BL75" s="197"/>
      <c r="BM75" s="197"/>
      <c r="BN75" s="197"/>
      <c r="BO75" s="197"/>
      <c r="BP75" s="197"/>
      <c r="BQ75" s="197"/>
      <c r="BR75" s="197"/>
      <c r="BS75" s="197"/>
      <c r="BT75" s="197"/>
      <c r="BU75" s="197"/>
      <c r="BV75" s="197"/>
      <c r="BW75" s="197"/>
      <c r="BX75" s="197"/>
      <c r="BY75" s="197"/>
      <c r="BZ75" s="197"/>
      <c r="CA75" s="197"/>
      <c r="CB75" s="197"/>
      <c r="CC75" s="197"/>
      <c r="CD75" s="197"/>
      <c r="CE75" s="197"/>
      <c r="CF75" s="197"/>
      <c r="CG75" s="197"/>
      <c r="CH75" s="197"/>
      <c r="CI75" s="197"/>
      <c r="CJ75" s="197"/>
      <c r="CK75" s="197"/>
      <c r="CL75" s="197"/>
      <c r="CM75" s="197"/>
      <c r="CN75" s="197"/>
      <c r="CO75" s="197"/>
      <c r="CP75" s="197"/>
      <c r="CQ75" s="197"/>
      <c r="CR75" s="197"/>
      <c r="CS75" s="197"/>
      <c r="CT75" s="197"/>
      <c r="CU75" s="197"/>
      <c r="CV75" s="197"/>
      <c r="CW75" s="197"/>
      <c r="CX75" s="197"/>
      <c r="CY75" s="197"/>
      <c r="CZ75" s="197"/>
      <c r="DA75" s="197"/>
      <c r="DB75" s="197"/>
      <c r="DC75" s="197"/>
      <c r="DD75" s="197"/>
      <c r="DE75" s="197"/>
      <c r="DF75" s="197"/>
      <c r="DG75" s="197"/>
      <c r="DH75" s="197"/>
      <c r="DI75" s="197"/>
      <c r="DJ75" s="197"/>
      <c r="DK75" s="197"/>
      <c r="DL75" s="197"/>
      <c r="DM75" s="197"/>
      <c r="DN75" s="197"/>
      <c r="DO75" s="197"/>
      <c r="DP75" s="197"/>
      <c r="DQ75" s="197"/>
      <c r="DR75" s="197"/>
      <c r="DS75" s="197"/>
      <c r="DT75" s="197"/>
      <c r="DU75" s="197"/>
      <c r="DV75" s="197"/>
      <c r="DW75" s="197"/>
      <c r="DX75" s="197"/>
      <c r="EB75" s="335"/>
      <c r="EH75" s="335"/>
      <c r="GP75" s="335"/>
    </row>
    <row r="76" spans="18:198" x14ac:dyDescent="0.25">
      <c r="R76" s="335"/>
      <c r="S76" t="str">
        <f>S75</f>
        <v>Grade</v>
      </c>
      <c r="T76" s="35" t="s">
        <v>14</v>
      </c>
      <c r="U76">
        <v>2</v>
      </c>
      <c r="V76">
        <f>'CycleRAP Model'!O38</f>
        <v>1</v>
      </c>
      <c r="W76" s="158" t="b">
        <f t="shared" si="52"/>
        <v>0</v>
      </c>
      <c r="X76" s="174"/>
      <c r="Y76" s="173"/>
      <c r="Z76" s="173"/>
      <c r="AA76" s="188"/>
      <c r="AB76" s="174"/>
      <c r="AC76" s="173"/>
      <c r="AD76" s="173"/>
      <c r="AE76" s="188"/>
      <c r="AF76" s="209"/>
      <c r="AG76" s="198"/>
      <c r="AH76" s="198"/>
      <c r="AI76" s="209"/>
      <c r="AJ76" s="198"/>
      <c r="AK76" s="198"/>
      <c r="AL76" s="198"/>
      <c r="AM76" s="198"/>
      <c r="AN76" s="198"/>
      <c r="AO76" s="198"/>
      <c r="AP76" s="198"/>
      <c r="AQ76" s="198"/>
      <c r="AR76" s="198"/>
      <c r="AS76" s="198"/>
      <c r="AT76" s="198"/>
      <c r="AU76" s="198"/>
      <c r="AV76" s="209"/>
      <c r="AW76" s="198"/>
      <c r="AX76" s="198"/>
      <c r="AY76" s="198"/>
      <c r="AZ76" s="198"/>
      <c r="BA76" s="198"/>
      <c r="BB76" s="198"/>
      <c r="BC76" s="198"/>
      <c r="BD76" s="198"/>
      <c r="BE76" s="198"/>
      <c r="BF76" s="198"/>
      <c r="BG76" s="198"/>
      <c r="BH76" s="198"/>
      <c r="BI76" s="198"/>
      <c r="BJ76" s="198"/>
      <c r="BK76" s="198"/>
      <c r="BL76" s="198"/>
      <c r="BM76" s="198"/>
      <c r="BN76" s="198"/>
      <c r="BO76" s="198"/>
      <c r="BP76" s="198"/>
      <c r="BQ76" s="198"/>
      <c r="BR76" s="198"/>
      <c r="BS76" s="198"/>
      <c r="BT76" s="198"/>
      <c r="BU76" s="198"/>
      <c r="BV76" s="198"/>
      <c r="BW76" s="198"/>
      <c r="BX76" s="198"/>
      <c r="BY76" s="200" t="b">
        <v>1</v>
      </c>
      <c r="BZ76" s="198"/>
      <c r="CA76" s="198"/>
      <c r="CB76" s="198"/>
      <c r="CC76" s="198"/>
      <c r="CD76" s="198"/>
      <c r="CE76" s="198"/>
      <c r="CF76" s="198"/>
      <c r="CG76" s="198"/>
      <c r="CH76" s="198"/>
      <c r="CI76" s="198"/>
      <c r="CJ76" s="198"/>
      <c r="CK76" s="198"/>
      <c r="CL76" s="198"/>
      <c r="CM76" s="198"/>
      <c r="CN76" s="198"/>
      <c r="CO76" s="198"/>
      <c r="CP76" s="198"/>
      <c r="CQ76" s="198"/>
      <c r="CR76" s="198"/>
      <c r="CS76" s="198"/>
      <c r="CT76" s="198"/>
      <c r="CU76" s="198"/>
      <c r="CV76" s="198"/>
      <c r="CW76" s="198"/>
      <c r="CX76" s="198"/>
      <c r="CY76" s="198"/>
      <c r="CZ76" s="198"/>
      <c r="DA76" s="198"/>
      <c r="DB76" s="198"/>
      <c r="DC76" s="198"/>
      <c r="DD76" s="198"/>
      <c r="DE76" s="198"/>
      <c r="DF76" s="198"/>
      <c r="DG76" s="198"/>
      <c r="DH76" s="198"/>
      <c r="DI76" s="198"/>
      <c r="DJ76" s="198"/>
      <c r="DK76" s="198"/>
      <c r="DL76" s="198"/>
      <c r="DM76" s="198"/>
      <c r="DN76" s="198"/>
      <c r="DO76" s="198"/>
      <c r="DP76" s="198"/>
      <c r="DQ76" s="198"/>
      <c r="DR76" s="198"/>
      <c r="DS76" s="198"/>
      <c r="DT76" s="200" t="b">
        <v>1</v>
      </c>
      <c r="DU76" s="198"/>
      <c r="DV76" s="200" t="b">
        <v>1</v>
      </c>
      <c r="DW76" s="198"/>
      <c r="DX76" s="198"/>
      <c r="DZ76" s="138"/>
      <c r="EA76" s="138"/>
      <c r="EB76" s="335"/>
      <c r="EH76" s="335"/>
      <c r="GP76" s="335"/>
    </row>
    <row r="77" spans="18:198" x14ac:dyDescent="0.25">
      <c r="R77" s="335"/>
      <c r="S77" s="4" t="s">
        <v>17</v>
      </c>
      <c r="T77" s="4" t="s">
        <v>18</v>
      </c>
      <c r="U77" s="157">
        <v>1</v>
      </c>
      <c r="V77" s="157">
        <f>'CycleRAP Model'!O39</f>
        <v>2</v>
      </c>
      <c r="W77" s="162" t="b">
        <f t="shared" si="52"/>
        <v>0</v>
      </c>
      <c r="X77" s="166"/>
      <c r="Y77" s="163"/>
      <c r="Z77" s="163"/>
      <c r="AA77" s="181"/>
      <c r="AB77" s="166"/>
      <c r="AC77" s="163"/>
      <c r="AD77" s="163"/>
      <c r="AE77" s="181"/>
      <c r="AF77" s="206"/>
      <c r="AG77" s="202" t="b">
        <v>1</v>
      </c>
      <c r="AH77" s="197"/>
      <c r="AI77" s="206"/>
      <c r="AJ77" s="197"/>
      <c r="AK77" s="197"/>
      <c r="AL77" s="197"/>
      <c r="AM77" s="195"/>
      <c r="AN77" s="195"/>
      <c r="AO77" s="195"/>
      <c r="AP77" s="195"/>
      <c r="AQ77" s="195"/>
      <c r="AR77" s="195"/>
      <c r="AS77" s="195"/>
      <c r="AT77" s="195"/>
      <c r="AU77" s="195"/>
      <c r="AV77" s="206"/>
      <c r="AW77" s="195"/>
      <c r="AX77" s="195"/>
      <c r="AY77" s="195"/>
      <c r="AZ77" s="195"/>
      <c r="BA77" s="195"/>
      <c r="BB77" s="195"/>
      <c r="BC77" s="195"/>
      <c r="BD77" s="195"/>
      <c r="BE77" s="195"/>
      <c r="BF77" s="195"/>
      <c r="BG77" s="195"/>
      <c r="BH77" s="195"/>
      <c r="BI77" s="195"/>
      <c r="BJ77" s="195"/>
      <c r="BK77" s="195"/>
      <c r="BL77" s="195"/>
      <c r="BM77" s="195"/>
      <c r="BN77" s="195"/>
      <c r="BO77" s="195"/>
      <c r="BP77" s="195"/>
      <c r="BQ77" s="195"/>
      <c r="BR77" s="195"/>
      <c r="BS77" s="195"/>
      <c r="BT77" s="195"/>
      <c r="BU77" s="195"/>
      <c r="BV77" s="195"/>
      <c r="BW77" s="195"/>
      <c r="BX77" s="201" t="b">
        <v>1</v>
      </c>
      <c r="BY77" s="201" t="b">
        <v>1</v>
      </c>
      <c r="BZ77" s="201" t="b">
        <v>1</v>
      </c>
      <c r="CA77" s="201" t="b">
        <v>1</v>
      </c>
      <c r="CB77" s="201" t="b">
        <v>1</v>
      </c>
      <c r="CC77" s="201" t="b">
        <v>1</v>
      </c>
      <c r="CD77" s="195"/>
      <c r="CE77" s="195"/>
      <c r="CF77" s="195"/>
      <c r="CG77" s="195"/>
      <c r="CH77" s="195"/>
      <c r="CI77" s="195"/>
      <c r="CJ77" s="195"/>
      <c r="CK77" s="195"/>
      <c r="CL77" s="195"/>
      <c r="CM77" s="201" t="b">
        <v>1</v>
      </c>
      <c r="CN77" s="201" t="b">
        <v>1</v>
      </c>
      <c r="CO77" s="201" t="b">
        <v>1</v>
      </c>
      <c r="CP77" s="195"/>
      <c r="CQ77" s="195"/>
      <c r="CR77" s="195"/>
      <c r="CS77" s="195"/>
      <c r="CT77" s="195"/>
      <c r="CU77" s="195"/>
      <c r="CV77" s="195"/>
      <c r="CW77" s="195"/>
      <c r="CX77" s="195"/>
      <c r="CY77" s="195"/>
      <c r="CZ77" s="195"/>
      <c r="DA77" s="195"/>
      <c r="DB77" s="195"/>
      <c r="DC77" s="195"/>
      <c r="DD77" s="195"/>
      <c r="DE77" s="195"/>
      <c r="DF77" s="195"/>
      <c r="DG77" s="195"/>
      <c r="DH77" s="195"/>
      <c r="DI77" s="195"/>
      <c r="DJ77" s="195"/>
      <c r="DK77" s="195"/>
      <c r="DL77" s="195"/>
      <c r="DM77" s="195"/>
      <c r="DN77" s="195"/>
      <c r="DO77" s="195"/>
      <c r="DP77" s="195"/>
      <c r="DQ77" s="195"/>
      <c r="DR77" s="195"/>
      <c r="DS77" s="195"/>
      <c r="DT77" s="201" t="b">
        <v>1</v>
      </c>
      <c r="DU77" s="195"/>
      <c r="DV77" s="195"/>
      <c r="DW77" s="201" t="b">
        <v>1</v>
      </c>
      <c r="DX77" s="201" t="b">
        <v>1</v>
      </c>
      <c r="EB77" s="335"/>
      <c r="EH77" s="335"/>
      <c r="GP77" s="335"/>
    </row>
    <row r="78" spans="18:198" x14ac:dyDescent="0.25">
      <c r="R78" s="335"/>
      <c r="S78" t="str">
        <f>S77</f>
        <v>Curvature</v>
      </c>
      <c r="T78" t="s">
        <v>207</v>
      </c>
      <c r="U78">
        <v>2</v>
      </c>
      <c r="V78">
        <f>'CycleRAP Model'!O39</f>
        <v>2</v>
      </c>
      <c r="W78" s="158" t="b">
        <f t="shared" si="52"/>
        <v>1</v>
      </c>
      <c r="X78" s="163"/>
      <c r="Y78" s="166"/>
      <c r="Z78" s="166"/>
      <c r="AA78" s="184"/>
      <c r="AB78" s="163"/>
      <c r="AC78" s="166"/>
      <c r="AD78" s="166"/>
      <c r="AE78" s="184"/>
      <c r="AF78" s="206"/>
      <c r="AG78" s="195"/>
      <c r="AH78" s="195"/>
      <c r="AI78" s="206"/>
      <c r="AJ78" s="195"/>
      <c r="AK78" s="195"/>
      <c r="AL78" s="195"/>
      <c r="AM78" s="195"/>
      <c r="AN78" s="195"/>
      <c r="AO78" s="195"/>
      <c r="AP78" s="195"/>
      <c r="AQ78" s="195"/>
      <c r="AR78" s="195"/>
      <c r="AS78" s="195"/>
      <c r="AT78" s="195"/>
      <c r="AU78" s="195"/>
      <c r="AV78" s="206"/>
      <c r="AW78" s="195"/>
      <c r="AX78" s="195"/>
      <c r="AY78" s="195"/>
      <c r="AZ78" s="195"/>
      <c r="BA78" s="195"/>
      <c r="BB78" s="195"/>
      <c r="BC78" s="195"/>
      <c r="BD78" s="195"/>
      <c r="BE78" s="195"/>
      <c r="BF78" s="195"/>
      <c r="BG78" s="195"/>
      <c r="BH78" s="195"/>
      <c r="BI78" s="195"/>
      <c r="BJ78" s="195"/>
      <c r="BK78" s="195"/>
      <c r="BL78" s="195"/>
      <c r="BM78" s="195"/>
      <c r="BN78" s="195"/>
      <c r="BO78" s="195"/>
      <c r="BP78" s="195"/>
      <c r="BQ78" s="195"/>
      <c r="BR78" s="195"/>
      <c r="BS78" s="195"/>
      <c r="BT78" s="195"/>
      <c r="BU78" s="195"/>
      <c r="BV78" s="195"/>
      <c r="BW78" s="195"/>
      <c r="BX78" s="195"/>
      <c r="BY78" s="195"/>
      <c r="BZ78" s="195"/>
      <c r="CA78" s="195"/>
      <c r="CB78" s="195"/>
      <c r="CC78" s="195"/>
      <c r="CD78" s="195"/>
      <c r="CE78" s="195"/>
      <c r="CF78" s="195"/>
      <c r="CG78" s="195"/>
      <c r="CH78" s="195"/>
      <c r="CI78" s="195"/>
      <c r="CJ78" s="195"/>
      <c r="CK78" s="195"/>
      <c r="CL78" s="195"/>
      <c r="CM78" s="195"/>
      <c r="CN78" s="195"/>
      <c r="CO78" s="195"/>
      <c r="CP78" s="195"/>
      <c r="CQ78" s="195"/>
      <c r="CR78" s="195"/>
      <c r="CS78" s="195"/>
      <c r="CT78" s="195"/>
      <c r="CU78" s="195"/>
      <c r="CV78" s="195"/>
      <c r="CW78" s="195"/>
      <c r="CX78" s="195"/>
      <c r="CY78" s="195"/>
      <c r="CZ78" s="195"/>
      <c r="DA78" s="195"/>
      <c r="DB78" s="195"/>
      <c r="DC78" s="195"/>
      <c r="DD78" s="195"/>
      <c r="DE78" s="195"/>
      <c r="DF78" s="195"/>
      <c r="DG78" s="195"/>
      <c r="DH78" s="195"/>
      <c r="DI78" s="195"/>
      <c r="DJ78" s="195"/>
      <c r="DK78" s="195"/>
      <c r="DL78" s="195"/>
      <c r="DM78" s="195"/>
      <c r="DN78" s="195"/>
      <c r="DO78" s="195"/>
      <c r="DP78" s="195"/>
      <c r="DQ78" s="195"/>
      <c r="DR78" s="195"/>
      <c r="DS78" s="195"/>
      <c r="DT78" s="195"/>
      <c r="DU78" s="195"/>
      <c r="DV78" s="195"/>
      <c r="DW78" s="195"/>
      <c r="DX78" s="195"/>
      <c r="EB78" s="335"/>
      <c r="EH78" s="335"/>
      <c r="GP78" s="335"/>
    </row>
    <row r="79" spans="18:198" x14ac:dyDescent="0.25">
      <c r="R79" s="335"/>
      <c r="S79" s="4" t="s">
        <v>21</v>
      </c>
      <c r="T79" s="4" t="s">
        <v>24</v>
      </c>
      <c r="U79" s="157">
        <v>1</v>
      </c>
      <c r="V79" s="157">
        <f>'CycleRAP Model'!O40</f>
        <v>1</v>
      </c>
      <c r="W79" s="162" t="b">
        <f t="shared" si="52"/>
        <v>1</v>
      </c>
      <c r="X79" s="170"/>
      <c r="Y79" s="171"/>
      <c r="Z79" s="171"/>
      <c r="AA79" s="185"/>
      <c r="AB79" s="170"/>
      <c r="AC79" s="171"/>
      <c r="AD79" s="171"/>
      <c r="AE79" s="185"/>
      <c r="AF79" s="208"/>
      <c r="AG79" s="197"/>
      <c r="AH79" s="197"/>
      <c r="AI79" s="208"/>
      <c r="AJ79" s="197"/>
      <c r="AK79" s="197"/>
      <c r="AL79" s="197"/>
      <c r="AM79" s="197"/>
      <c r="AN79" s="197"/>
      <c r="AO79" s="197"/>
      <c r="AP79" s="197"/>
      <c r="AQ79" s="197"/>
      <c r="AR79" s="197"/>
      <c r="AS79" s="197"/>
      <c r="AT79" s="197"/>
      <c r="AU79" s="197"/>
      <c r="AV79" s="208"/>
      <c r="AW79" s="197"/>
      <c r="AX79" s="197"/>
      <c r="AY79" s="197"/>
      <c r="AZ79" s="197"/>
      <c r="BA79" s="197"/>
      <c r="BB79" s="197"/>
      <c r="BC79" s="197"/>
      <c r="BD79" s="197"/>
      <c r="BE79" s="197"/>
      <c r="BF79" s="197"/>
      <c r="BG79" s="197"/>
      <c r="BH79" s="197"/>
      <c r="BI79" s="197"/>
      <c r="BJ79" s="197"/>
      <c r="BK79" s="197"/>
      <c r="BL79" s="197"/>
      <c r="BM79" s="197"/>
      <c r="BN79" s="197"/>
      <c r="BO79" s="197"/>
      <c r="BP79" s="197"/>
      <c r="BQ79" s="197"/>
      <c r="BR79" s="197"/>
      <c r="BS79" s="197"/>
      <c r="BT79" s="197"/>
      <c r="BU79" s="197"/>
      <c r="BV79" s="197"/>
      <c r="BW79" s="197"/>
      <c r="BX79" s="197"/>
      <c r="BY79" s="197"/>
      <c r="BZ79" s="197"/>
      <c r="CA79" s="197"/>
      <c r="CB79" s="197"/>
      <c r="CC79" s="197"/>
      <c r="CD79" s="197"/>
      <c r="CE79" s="197"/>
      <c r="CF79" s="197"/>
      <c r="CG79" s="197"/>
      <c r="CH79" s="197"/>
      <c r="CI79" s="197"/>
      <c r="CJ79" s="197"/>
      <c r="CK79" s="197"/>
      <c r="CL79" s="197"/>
      <c r="CM79" s="197"/>
      <c r="CN79" s="197"/>
      <c r="CO79" s="197"/>
      <c r="CP79" s="197"/>
      <c r="CQ79" s="197"/>
      <c r="CR79" s="197"/>
      <c r="CS79" s="197"/>
      <c r="CT79" s="197"/>
      <c r="CU79" s="197"/>
      <c r="CV79" s="197"/>
      <c r="CW79" s="197"/>
      <c r="CX79" s="197"/>
      <c r="CY79" s="197"/>
      <c r="CZ79" s="197"/>
      <c r="DA79" s="197"/>
      <c r="DB79" s="197"/>
      <c r="DC79" s="197"/>
      <c r="DD79" s="197"/>
      <c r="DE79" s="197"/>
      <c r="DF79" s="197"/>
      <c r="DG79" s="197"/>
      <c r="DH79" s="197"/>
      <c r="DI79" s="197"/>
      <c r="DJ79" s="197"/>
      <c r="DK79" s="197"/>
      <c r="DL79" s="197"/>
      <c r="DM79" s="197"/>
      <c r="DN79" s="197"/>
      <c r="DO79" s="197"/>
      <c r="DP79" s="197"/>
      <c r="DQ79" s="197"/>
      <c r="DR79" s="197"/>
      <c r="DS79" s="197"/>
      <c r="DT79" s="197"/>
      <c r="DU79" s="197"/>
      <c r="DV79" s="197"/>
      <c r="DW79" s="197"/>
      <c r="DX79" s="197"/>
      <c r="EB79" s="335"/>
      <c r="EH79" s="335"/>
      <c r="GP79" s="335"/>
    </row>
    <row r="80" spans="18:198" x14ac:dyDescent="0.25">
      <c r="R80" s="335"/>
      <c r="S80" t="str">
        <f>S79</f>
        <v>Street lighting</v>
      </c>
      <c r="T80" t="s">
        <v>22</v>
      </c>
      <c r="U80">
        <v>2</v>
      </c>
      <c r="V80">
        <f>'CycleRAP Model'!O40</f>
        <v>1</v>
      </c>
      <c r="W80" s="158" t="b">
        <f t="shared" si="52"/>
        <v>0</v>
      </c>
      <c r="X80" s="174"/>
      <c r="Y80" s="173"/>
      <c r="Z80" s="173"/>
      <c r="AA80" s="188"/>
      <c r="AB80" s="174"/>
      <c r="AC80" s="173"/>
      <c r="AD80" s="173"/>
      <c r="AE80" s="188"/>
      <c r="AF80" s="209"/>
      <c r="AG80" s="198"/>
      <c r="AH80" s="198"/>
      <c r="AI80" s="209"/>
      <c r="AJ80" s="198"/>
      <c r="AK80" s="198"/>
      <c r="AL80" s="198"/>
      <c r="AM80" s="198"/>
      <c r="AN80" s="198"/>
      <c r="AO80" s="198"/>
      <c r="AP80" s="198"/>
      <c r="AQ80" s="198"/>
      <c r="AR80" s="198"/>
      <c r="AS80" s="198"/>
      <c r="AT80" s="198"/>
      <c r="AU80" s="198"/>
      <c r="AV80" s="209"/>
      <c r="AW80" s="198"/>
      <c r="AX80" s="198"/>
      <c r="AY80" s="198"/>
      <c r="AZ80" s="198"/>
      <c r="BA80" s="198"/>
      <c r="BB80" s="198"/>
      <c r="BC80" s="198"/>
      <c r="BD80" s="198"/>
      <c r="BE80" s="198"/>
      <c r="BF80" s="198"/>
      <c r="BG80" s="198"/>
      <c r="BH80" s="200" t="b">
        <v>1</v>
      </c>
      <c r="BI80" s="200" t="b">
        <v>1</v>
      </c>
      <c r="BJ80" s="200" t="b">
        <v>1</v>
      </c>
      <c r="BK80" s="200" t="b">
        <v>1</v>
      </c>
      <c r="BL80" s="200" t="b">
        <v>1</v>
      </c>
      <c r="BM80" s="200" t="b">
        <v>1</v>
      </c>
      <c r="BN80" s="198"/>
      <c r="BO80" s="198"/>
      <c r="BP80" s="198"/>
      <c r="BQ80" s="198"/>
      <c r="BR80" s="198"/>
      <c r="BS80" s="198"/>
      <c r="BT80" s="198"/>
      <c r="BU80" s="198"/>
      <c r="BV80" s="198"/>
      <c r="BW80" s="198"/>
      <c r="BX80" s="198"/>
      <c r="BY80" s="198"/>
      <c r="BZ80" s="198"/>
      <c r="CA80" s="198"/>
      <c r="CB80" s="198"/>
      <c r="CC80" s="198"/>
      <c r="CD80" s="198"/>
      <c r="CE80" s="198"/>
      <c r="CF80" s="198"/>
      <c r="CG80" s="198"/>
      <c r="CH80" s="198"/>
      <c r="CI80" s="198"/>
      <c r="CJ80" s="198"/>
      <c r="CK80" s="198"/>
      <c r="CL80" s="198"/>
      <c r="CM80" s="198"/>
      <c r="CN80" s="198"/>
      <c r="CO80" s="198"/>
      <c r="CP80" s="198"/>
      <c r="CQ80" s="198"/>
      <c r="CR80" s="198"/>
      <c r="CS80" s="198"/>
      <c r="CT80" s="198"/>
      <c r="CU80" s="198"/>
      <c r="CV80" s="198"/>
      <c r="CW80" s="198"/>
      <c r="CX80" s="198"/>
      <c r="CY80" s="198"/>
      <c r="CZ80" s="198"/>
      <c r="DA80" s="198"/>
      <c r="DB80" s="198"/>
      <c r="DC80" s="198"/>
      <c r="DD80" s="198"/>
      <c r="DE80" s="198"/>
      <c r="DF80" s="198"/>
      <c r="DG80" s="198"/>
      <c r="DH80" s="198"/>
      <c r="DI80" s="198"/>
      <c r="DJ80" s="198"/>
      <c r="DK80" s="198"/>
      <c r="DL80" s="198"/>
      <c r="DM80" s="198"/>
      <c r="DN80" s="198"/>
      <c r="DO80" s="198"/>
      <c r="DP80" s="198"/>
      <c r="DQ80" s="198"/>
      <c r="DR80" s="198"/>
      <c r="DS80" s="198"/>
      <c r="DT80" s="198"/>
      <c r="DU80" s="198"/>
      <c r="DV80" s="198"/>
      <c r="DW80" s="198"/>
      <c r="DX80" s="198"/>
      <c r="EB80" s="335"/>
      <c r="EH80" s="335"/>
      <c r="GP80" s="335"/>
    </row>
    <row r="81" spans="18:198" x14ac:dyDescent="0.25">
      <c r="R81" s="335"/>
      <c r="S81" s="4" t="s">
        <v>25</v>
      </c>
      <c r="T81" s="4" t="s">
        <v>24</v>
      </c>
      <c r="U81" s="157">
        <v>1</v>
      </c>
      <c r="V81" s="157">
        <f>'CycleRAP Model'!O41</f>
        <v>2</v>
      </c>
      <c r="W81" s="162" t="b">
        <f t="shared" si="52"/>
        <v>0</v>
      </c>
      <c r="X81" s="166"/>
      <c r="Y81" s="163"/>
      <c r="Z81" s="163"/>
      <c r="AA81" s="181"/>
      <c r="AB81" s="166"/>
      <c r="AC81" s="163"/>
      <c r="AD81" s="163"/>
      <c r="AE81" s="181"/>
      <c r="AF81" s="206"/>
      <c r="AG81" s="195"/>
      <c r="AH81" s="195"/>
      <c r="AI81" s="206"/>
      <c r="AJ81" s="195"/>
      <c r="AK81" s="195"/>
      <c r="AL81" s="195"/>
      <c r="AM81" s="195"/>
      <c r="AN81" s="195"/>
      <c r="AO81" s="195"/>
      <c r="AP81" s="195"/>
      <c r="AQ81" s="195"/>
      <c r="AR81" s="195"/>
      <c r="AS81" s="195"/>
      <c r="AT81" s="195"/>
      <c r="AU81" s="195"/>
      <c r="AV81" s="206"/>
      <c r="AW81" s="195"/>
      <c r="AX81" s="195"/>
      <c r="AY81" s="195"/>
      <c r="AZ81" s="195"/>
      <c r="BA81" s="195"/>
      <c r="BB81" s="195"/>
      <c r="BC81" s="195"/>
      <c r="BD81" s="195"/>
      <c r="BE81" s="195"/>
      <c r="BF81" s="195"/>
      <c r="BG81" s="195"/>
      <c r="BH81" s="201" t="b">
        <v>1</v>
      </c>
      <c r="BI81" s="195"/>
      <c r="BJ81" s="195"/>
      <c r="BK81" s="195"/>
      <c r="BL81" s="195"/>
      <c r="BM81" s="195"/>
      <c r="BN81" s="195"/>
      <c r="BO81" s="195"/>
      <c r="BP81" s="195"/>
      <c r="BQ81" s="195"/>
      <c r="BR81" s="195"/>
      <c r="BS81" s="195"/>
      <c r="BT81" s="195"/>
      <c r="BU81" s="195"/>
      <c r="BV81" s="195"/>
      <c r="BW81" s="195"/>
      <c r="BX81" s="195"/>
      <c r="BY81" s="195"/>
      <c r="BZ81" s="195"/>
      <c r="CA81" s="195"/>
      <c r="CB81" s="195"/>
      <c r="CC81" s="195"/>
      <c r="CD81" s="195"/>
      <c r="CE81" s="195"/>
      <c r="CF81" s="195"/>
      <c r="CG81" s="195"/>
      <c r="CH81" s="195"/>
      <c r="CI81" s="195"/>
      <c r="CJ81" s="195"/>
      <c r="CK81" s="195"/>
      <c r="CL81" s="195"/>
      <c r="CM81" s="195"/>
      <c r="CN81" s="195"/>
      <c r="CO81" s="195"/>
      <c r="CP81" s="195"/>
      <c r="CQ81" s="195"/>
      <c r="CR81" s="195"/>
      <c r="CS81" s="195"/>
      <c r="CT81" s="195"/>
      <c r="CU81" s="195"/>
      <c r="CV81" s="195"/>
      <c r="CW81" s="195"/>
      <c r="CX81" s="195"/>
      <c r="CY81" s="195"/>
      <c r="CZ81" s="195"/>
      <c r="DA81" s="195"/>
      <c r="DB81" s="195"/>
      <c r="DC81" s="195"/>
      <c r="DD81" s="195"/>
      <c r="DE81" s="195"/>
      <c r="DF81" s="195"/>
      <c r="DG81" s="195"/>
      <c r="DH81" s="195"/>
      <c r="DI81" s="195"/>
      <c r="DJ81" s="195"/>
      <c r="DK81" s="195"/>
      <c r="DL81" s="195"/>
      <c r="DM81" s="195"/>
      <c r="DN81" s="195"/>
      <c r="DO81" s="195"/>
      <c r="DP81" s="195"/>
      <c r="DQ81" s="195"/>
      <c r="DR81" s="201" t="b">
        <v>1</v>
      </c>
      <c r="DS81" s="195"/>
      <c r="DT81" s="195"/>
      <c r="DU81" s="195"/>
      <c r="DV81" s="195"/>
      <c r="DW81" s="195"/>
      <c r="DX81" s="195"/>
      <c r="EB81" s="335"/>
      <c r="EH81" s="335"/>
      <c r="GP81" s="335"/>
    </row>
    <row r="82" spans="18:198" x14ac:dyDescent="0.25">
      <c r="R82" s="335"/>
      <c r="S82" t="str">
        <f>S81</f>
        <v>Pedestrian crossing</v>
      </c>
      <c r="T82" t="s">
        <v>22</v>
      </c>
      <c r="U82">
        <v>2</v>
      </c>
      <c r="V82">
        <f>'CycleRAP Model'!O41</f>
        <v>2</v>
      </c>
      <c r="W82" s="158" t="b">
        <f t="shared" si="52"/>
        <v>1</v>
      </c>
      <c r="X82" s="163"/>
      <c r="Y82" s="166"/>
      <c r="Z82" s="166"/>
      <c r="AA82" s="184"/>
      <c r="AB82" s="163"/>
      <c r="AC82" s="166"/>
      <c r="AD82" s="166"/>
      <c r="AE82" s="184"/>
      <c r="AF82" s="206"/>
      <c r="AG82" s="195"/>
      <c r="AH82" s="195"/>
      <c r="AI82" s="206"/>
      <c r="AJ82" s="195"/>
      <c r="AK82" s="195"/>
      <c r="AL82" s="195"/>
      <c r="AM82" s="195"/>
      <c r="AN82" s="195"/>
      <c r="AO82" s="195"/>
      <c r="AP82" s="195"/>
      <c r="AQ82" s="195"/>
      <c r="AR82" s="195"/>
      <c r="AS82" s="195"/>
      <c r="AT82" s="195"/>
      <c r="AU82" s="195"/>
      <c r="AV82" s="206"/>
      <c r="AW82" s="195"/>
      <c r="AX82" s="195"/>
      <c r="AY82" s="195"/>
      <c r="AZ82" s="195"/>
      <c r="BA82" s="195"/>
      <c r="BB82" s="195"/>
      <c r="BC82" s="195"/>
      <c r="BD82" s="195"/>
      <c r="BE82" s="195"/>
      <c r="BF82" s="195"/>
      <c r="BG82" s="195"/>
      <c r="BH82" s="195"/>
      <c r="BI82" s="195"/>
      <c r="BJ82" s="195"/>
      <c r="BK82" s="195"/>
      <c r="BL82" s="195"/>
      <c r="BM82" s="195"/>
      <c r="BN82" s="195"/>
      <c r="BO82" s="195"/>
      <c r="BP82" s="195"/>
      <c r="BQ82" s="195"/>
      <c r="BR82" s="195"/>
      <c r="BS82" s="195"/>
      <c r="BT82" s="195"/>
      <c r="BU82" s="195"/>
      <c r="BV82" s="195"/>
      <c r="BW82" s="195"/>
      <c r="BX82" s="195"/>
      <c r="BY82" s="195"/>
      <c r="BZ82" s="195"/>
      <c r="CA82" s="195"/>
      <c r="CB82" s="195"/>
      <c r="CC82" s="195"/>
      <c r="CD82" s="195"/>
      <c r="CE82" s="195"/>
      <c r="CF82" s="195"/>
      <c r="CG82" s="195"/>
      <c r="CH82" s="195"/>
      <c r="CI82" s="195"/>
      <c r="CJ82" s="195"/>
      <c r="CK82" s="195"/>
      <c r="CL82" s="195"/>
      <c r="CM82" s="195"/>
      <c r="CN82" s="195"/>
      <c r="CO82" s="195"/>
      <c r="CP82" s="195"/>
      <c r="CQ82" s="195"/>
      <c r="CR82" s="195"/>
      <c r="CS82" s="195"/>
      <c r="CT82" s="195"/>
      <c r="CU82" s="195"/>
      <c r="CV82" s="195"/>
      <c r="CW82" s="195"/>
      <c r="CX82" s="195"/>
      <c r="CY82" s="195"/>
      <c r="CZ82" s="195"/>
      <c r="DA82" s="195"/>
      <c r="DB82" s="195"/>
      <c r="DC82" s="195"/>
      <c r="DD82" s="195"/>
      <c r="DE82" s="195"/>
      <c r="DF82" s="195"/>
      <c r="DG82" s="195"/>
      <c r="DH82" s="195"/>
      <c r="DI82" s="195"/>
      <c r="DJ82" s="195"/>
      <c r="DK82" s="195"/>
      <c r="DL82" s="195"/>
      <c r="DM82" s="195"/>
      <c r="DN82" s="195"/>
      <c r="DO82" s="195"/>
      <c r="DP82" s="195"/>
      <c r="DQ82" s="195"/>
      <c r="DR82" s="195"/>
      <c r="DS82" s="195"/>
      <c r="DT82" s="195"/>
      <c r="DU82" s="195"/>
      <c r="DV82" s="195"/>
      <c r="DW82" s="195"/>
      <c r="DX82" s="195"/>
      <c r="EB82" s="335"/>
      <c r="EH82" s="335"/>
      <c r="GP82" s="335"/>
    </row>
    <row r="83" spans="18:198" x14ac:dyDescent="0.25">
      <c r="R83" s="335"/>
      <c r="S83" s="4" t="s">
        <v>27</v>
      </c>
      <c r="T83" s="4" t="s">
        <v>24</v>
      </c>
      <c r="U83" s="157">
        <v>1</v>
      </c>
      <c r="V83" s="157">
        <f>'CycleRAP Model'!O42</f>
        <v>2</v>
      </c>
      <c r="W83" s="162" t="b">
        <f t="shared" si="52"/>
        <v>0</v>
      </c>
      <c r="X83" s="170"/>
      <c r="Y83" s="171"/>
      <c r="Z83" s="171"/>
      <c r="AA83" s="185"/>
      <c r="AB83" s="170"/>
      <c r="AC83" s="171"/>
      <c r="AD83" s="171"/>
      <c r="AE83" s="185"/>
      <c r="AF83" s="208"/>
      <c r="AG83" s="197"/>
      <c r="AH83" s="197"/>
      <c r="AI83" s="208"/>
      <c r="AJ83" s="197"/>
      <c r="AK83" s="197"/>
      <c r="AL83" s="197"/>
      <c r="AM83" s="197"/>
      <c r="AN83" s="197"/>
      <c r="AO83" s="197"/>
      <c r="AP83" s="197"/>
      <c r="AQ83" s="197"/>
      <c r="AR83" s="197"/>
      <c r="AS83" s="197"/>
      <c r="AT83" s="197"/>
      <c r="AU83" s="197"/>
      <c r="AV83" s="208"/>
      <c r="AW83" s="197"/>
      <c r="AX83" s="197"/>
      <c r="AY83" s="197"/>
      <c r="AZ83" s="197"/>
      <c r="BA83" s="197"/>
      <c r="BB83" s="197"/>
      <c r="BC83" s="197"/>
      <c r="BD83" s="197"/>
      <c r="BE83" s="197"/>
      <c r="BF83" s="197"/>
      <c r="BG83" s="197"/>
      <c r="BH83" s="197"/>
      <c r="BI83" s="202" t="b">
        <v>1</v>
      </c>
      <c r="BJ83" s="197"/>
      <c r="BK83" s="197"/>
      <c r="BL83" s="197"/>
      <c r="BM83" s="197"/>
      <c r="BN83" s="197"/>
      <c r="BO83" s="197"/>
      <c r="BP83" s="197"/>
      <c r="BQ83" s="197"/>
      <c r="BR83" s="197"/>
      <c r="BS83" s="197"/>
      <c r="BT83" s="197"/>
      <c r="BU83" s="197"/>
      <c r="BV83" s="197"/>
      <c r="BW83" s="197"/>
      <c r="BX83" s="197"/>
      <c r="BY83" s="197"/>
      <c r="BZ83" s="197"/>
      <c r="CA83" s="197"/>
      <c r="CB83" s="197"/>
      <c r="CC83" s="197"/>
      <c r="CD83" s="197"/>
      <c r="CE83" s="197"/>
      <c r="CF83" s="197"/>
      <c r="CG83" s="197"/>
      <c r="CH83" s="197"/>
      <c r="CI83" s="197"/>
      <c r="CJ83" s="197"/>
      <c r="CK83" s="197"/>
      <c r="CL83" s="197"/>
      <c r="CM83" s="197"/>
      <c r="CN83" s="197"/>
      <c r="CO83" s="197"/>
      <c r="CP83" s="197"/>
      <c r="CQ83" s="197"/>
      <c r="CR83" s="197"/>
      <c r="CS83" s="197"/>
      <c r="CT83" s="197"/>
      <c r="CU83" s="197"/>
      <c r="CV83" s="197"/>
      <c r="CW83" s="197"/>
      <c r="CX83" s="197"/>
      <c r="CY83" s="197"/>
      <c r="CZ83" s="197"/>
      <c r="DA83" s="197"/>
      <c r="DB83" s="197"/>
      <c r="DC83" s="197"/>
      <c r="DD83" s="197"/>
      <c r="DE83" s="197"/>
      <c r="DF83" s="197"/>
      <c r="DG83" s="197"/>
      <c r="DH83" s="197"/>
      <c r="DI83" s="197"/>
      <c r="DJ83" s="197"/>
      <c r="DK83" s="197"/>
      <c r="DL83" s="197"/>
      <c r="DM83" s="197"/>
      <c r="DN83" s="197"/>
      <c r="DO83" s="197"/>
      <c r="DP83" s="197"/>
      <c r="DQ83" s="197"/>
      <c r="DR83" s="197"/>
      <c r="DS83" s="197"/>
      <c r="DT83" s="197"/>
      <c r="DU83" s="197"/>
      <c r="DV83" s="197"/>
      <c r="DW83" s="197"/>
      <c r="DX83" s="197"/>
      <c r="EB83" s="335"/>
      <c r="EH83" s="335"/>
      <c r="GP83" s="335"/>
    </row>
    <row r="84" spans="18:198" x14ac:dyDescent="0.25">
      <c r="R84" s="335"/>
      <c r="S84" t="str">
        <f>S83</f>
        <v>Intersecting bicycle facility</v>
      </c>
      <c r="T84" t="s">
        <v>22</v>
      </c>
      <c r="U84">
        <v>2</v>
      </c>
      <c r="V84">
        <f>'CycleRAP Model'!O42</f>
        <v>2</v>
      </c>
      <c r="W84" s="158" t="b">
        <f t="shared" si="52"/>
        <v>1</v>
      </c>
      <c r="X84" s="174"/>
      <c r="Y84" s="173"/>
      <c r="Z84" s="173"/>
      <c r="AA84" s="188"/>
      <c r="AB84" s="174"/>
      <c r="AC84" s="173"/>
      <c r="AD84" s="173"/>
      <c r="AE84" s="188"/>
      <c r="AF84" s="209"/>
      <c r="AG84" s="198"/>
      <c r="AH84" s="198"/>
      <c r="AI84" s="209"/>
      <c r="AJ84" s="198"/>
      <c r="AK84" s="198"/>
      <c r="AL84" s="198"/>
      <c r="AM84" s="198"/>
      <c r="AN84" s="198"/>
      <c r="AO84" s="198"/>
      <c r="AP84" s="198"/>
      <c r="AQ84" s="198"/>
      <c r="AR84" s="198"/>
      <c r="AS84" s="198"/>
      <c r="AT84" s="198"/>
      <c r="AU84" s="198"/>
      <c r="AV84" s="209"/>
      <c r="AW84" s="198"/>
      <c r="AX84" s="198"/>
      <c r="AY84" s="198"/>
      <c r="AZ84" s="198"/>
      <c r="BA84" s="198"/>
      <c r="BB84" s="198"/>
      <c r="BC84" s="198"/>
      <c r="BD84" s="198"/>
      <c r="BE84" s="198"/>
      <c r="BF84" s="198"/>
      <c r="BG84" s="198"/>
      <c r="BH84" s="198"/>
      <c r="BI84" s="198"/>
      <c r="BJ84" s="198"/>
      <c r="BK84" s="198"/>
      <c r="BL84" s="198"/>
      <c r="BM84" s="198"/>
      <c r="BN84" s="198"/>
      <c r="BO84" s="198"/>
      <c r="BP84" s="198"/>
      <c r="BQ84" s="198"/>
      <c r="BR84" s="198"/>
      <c r="BS84" s="198"/>
      <c r="BT84" s="198"/>
      <c r="BU84" s="198"/>
      <c r="BV84" s="198"/>
      <c r="BW84" s="198"/>
      <c r="BX84" s="198"/>
      <c r="BY84" s="198"/>
      <c r="BZ84" s="198"/>
      <c r="CA84" s="198"/>
      <c r="CB84" s="198"/>
      <c r="CC84" s="198"/>
      <c r="CD84" s="198"/>
      <c r="CE84" s="198"/>
      <c r="CF84" s="198"/>
      <c r="CG84" s="198"/>
      <c r="CH84" s="198"/>
      <c r="CI84" s="198"/>
      <c r="CJ84" s="198"/>
      <c r="CK84" s="198"/>
      <c r="CL84" s="198"/>
      <c r="CM84" s="198"/>
      <c r="CN84" s="198"/>
      <c r="CO84" s="198"/>
      <c r="CP84" s="198"/>
      <c r="CQ84" s="198"/>
      <c r="CR84" s="198"/>
      <c r="CS84" s="198"/>
      <c r="CT84" s="198"/>
      <c r="CU84" s="198"/>
      <c r="CV84" s="198"/>
      <c r="CW84" s="198"/>
      <c r="CX84" s="198"/>
      <c r="CY84" s="198"/>
      <c r="CZ84" s="198"/>
      <c r="DA84" s="198"/>
      <c r="DB84" s="198"/>
      <c r="DC84" s="198"/>
      <c r="DD84" s="198"/>
      <c r="DE84" s="198"/>
      <c r="DF84" s="198"/>
      <c r="DG84" s="198"/>
      <c r="DH84" s="198"/>
      <c r="DI84" s="198"/>
      <c r="DJ84" s="198"/>
      <c r="DK84" s="198"/>
      <c r="DL84" s="198"/>
      <c r="DM84" s="198"/>
      <c r="DN84" s="198"/>
      <c r="DO84" s="198"/>
      <c r="DP84" s="198"/>
      <c r="DQ84" s="198"/>
      <c r="DR84" s="198"/>
      <c r="DS84" s="198"/>
      <c r="DT84" s="198"/>
      <c r="DU84" s="198"/>
      <c r="DV84" s="198"/>
      <c r="DW84" s="198"/>
      <c r="DX84" s="198"/>
      <c r="EB84" s="335"/>
      <c r="EH84" s="335"/>
      <c r="GP84" s="335"/>
    </row>
    <row r="85" spans="18:198" x14ac:dyDescent="0.25">
      <c r="R85" s="335"/>
      <c r="S85" s="4" t="s">
        <v>29</v>
      </c>
      <c r="T85" s="4" t="s">
        <v>30</v>
      </c>
      <c r="U85" s="157">
        <v>1</v>
      </c>
      <c r="V85" s="157">
        <f>'CycleRAP Model'!O43</f>
        <v>2</v>
      </c>
      <c r="W85" s="162" t="b">
        <f t="shared" si="52"/>
        <v>0</v>
      </c>
      <c r="X85" s="166"/>
      <c r="Y85" s="163"/>
      <c r="Z85" s="163"/>
      <c r="AA85" s="181"/>
      <c r="AB85" s="166"/>
      <c r="AC85" s="163"/>
      <c r="AD85" s="163"/>
      <c r="AE85" s="181"/>
      <c r="AF85" s="206"/>
      <c r="AG85" s="195"/>
      <c r="AH85" s="195"/>
      <c r="AI85" s="206"/>
      <c r="AJ85" s="195"/>
      <c r="AK85" s="195"/>
      <c r="AL85" s="195"/>
      <c r="AM85" s="195"/>
      <c r="AN85" s="195"/>
      <c r="AO85" s="195"/>
      <c r="AP85" s="195"/>
      <c r="AQ85" s="195"/>
      <c r="AR85" s="195"/>
      <c r="AS85" s="195"/>
      <c r="AT85" s="195"/>
      <c r="AU85" s="195"/>
      <c r="AV85" s="206"/>
      <c r="AW85" s="195"/>
      <c r="AX85" s="195"/>
      <c r="AY85" s="195"/>
      <c r="AZ85" s="195"/>
      <c r="BA85" s="195"/>
      <c r="BB85" s="195"/>
      <c r="BC85" s="195"/>
      <c r="BD85" s="195"/>
      <c r="BE85" s="195"/>
      <c r="BF85" s="195"/>
      <c r="BG85" s="195"/>
      <c r="BH85" s="195"/>
      <c r="BI85" s="195"/>
      <c r="BJ85" s="195"/>
      <c r="BK85" s="195"/>
      <c r="BL85" s="195"/>
      <c r="BM85" s="195"/>
      <c r="BN85" s="195"/>
      <c r="BO85" s="195"/>
      <c r="BP85" s="195"/>
      <c r="BQ85" s="195"/>
      <c r="BR85" s="195"/>
      <c r="BS85" s="195"/>
      <c r="BT85" s="195"/>
      <c r="BU85" s="195"/>
      <c r="BV85" s="195"/>
      <c r="BW85" s="195"/>
      <c r="BX85" s="195"/>
      <c r="BY85" s="195"/>
      <c r="BZ85" s="195"/>
      <c r="CA85" s="195"/>
      <c r="CB85" s="195"/>
      <c r="CC85" s="195"/>
      <c r="CD85" s="195"/>
      <c r="CE85" s="195"/>
      <c r="CF85" s="195"/>
      <c r="CG85" s="195"/>
      <c r="CH85" s="195"/>
      <c r="CI85" s="195"/>
      <c r="CJ85" s="195"/>
      <c r="CK85" s="195"/>
      <c r="CL85" s="195"/>
      <c r="CM85" s="195"/>
      <c r="CN85" s="195"/>
      <c r="CO85" s="195"/>
      <c r="CP85" s="195"/>
      <c r="CQ85" s="195"/>
      <c r="CR85" s="195"/>
      <c r="CS85" s="201" t="b">
        <v>1</v>
      </c>
      <c r="CT85" s="201" t="b">
        <v>1</v>
      </c>
      <c r="CU85" s="201" t="b">
        <v>1</v>
      </c>
      <c r="CV85" s="201" t="b">
        <v>1</v>
      </c>
      <c r="CW85" s="201" t="b">
        <v>1</v>
      </c>
      <c r="CX85" s="201" t="b">
        <v>1</v>
      </c>
      <c r="CY85" s="201" t="b">
        <v>1</v>
      </c>
      <c r="CZ85" s="195"/>
      <c r="DA85" s="195"/>
      <c r="DB85" s="195"/>
      <c r="DC85" s="195"/>
      <c r="DD85" s="195"/>
      <c r="DE85" s="195"/>
      <c r="DF85" s="195"/>
      <c r="DG85" s="195"/>
      <c r="DH85" s="195"/>
      <c r="DI85" s="195"/>
      <c r="DJ85" s="195"/>
      <c r="DK85" s="197"/>
      <c r="DL85" s="201" t="b">
        <v>1</v>
      </c>
      <c r="DM85" s="195"/>
      <c r="DN85" s="195"/>
      <c r="DO85" s="197"/>
      <c r="DP85" s="201" t="b">
        <v>1</v>
      </c>
      <c r="DQ85" s="195"/>
      <c r="DR85" s="195"/>
      <c r="DS85" s="195"/>
      <c r="DT85" s="195"/>
      <c r="DU85" s="195"/>
      <c r="DV85" s="195"/>
      <c r="DW85" s="195"/>
      <c r="DX85" s="195"/>
      <c r="EB85" s="335"/>
      <c r="EH85" s="335"/>
      <c r="GP85" s="335"/>
    </row>
    <row r="86" spans="18:198" x14ac:dyDescent="0.25">
      <c r="R86" s="335"/>
      <c r="S86" t="str">
        <f>S85</f>
        <v>Intersection approach</v>
      </c>
      <c r="T86" t="s">
        <v>213</v>
      </c>
      <c r="U86">
        <v>2</v>
      </c>
      <c r="V86">
        <f>'CycleRAP Model'!O43</f>
        <v>2</v>
      </c>
      <c r="W86" s="158" t="b">
        <f t="shared" si="52"/>
        <v>1</v>
      </c>
      <c r="X86" s="163"/>
      <c r="Y86" s="166"/>
      <c r="Z86" s="166"/>
      <c r="AA86" s="184"/>
      <c r="AB86" s="163"/>
      <c r="AC86" s="166"/>
      <c r="AD86" s="166"/>
      <c r="AE86" s="184"/>
      <c r="AF86" s="206"/>
      <c r="AG86" s="195"/>
      <c r="AH86" s="195"/>
      <c r="AI86" s="206"/>
      <c r="AJ86" s="195"/>
      <c r="AK86" s="195"/>
      <c r="AL86" s="195"/>
      <c r="AM86" s="195"/>
      <c r="AN86" s="195"/>
      <c r="AO86" s="195"/>
      <c r="AP86" s="195"/>
      <c r="AQ86" s="195"/>
      <c r="AR86" s="195"/>
      <c r="AS86" s="195"/>
      <c r="AT86" s="195"/>
      <c r="AU86" s="195"/>
      <c r="AV86" s="206"/>
      <c r="AW86" s="195"/>
      <c r="AX86" s="195"/>
      <c r="AY86" s="195"/>
      <c r="AZ86" s="195"/>
      <c r="BA86" s="195"/>
      <c r="BB86" s="195"/>
      <c r="BC86" s="195"/>
      <c r="BD86" s="195"/>
      <c r="BE86" s="195"/>
      <c r="BF86" s="195"/>
      <c r="BG86" s="195"/>
      <c r="BH86" s="195"/>
      <c r="BI86" s="195"/>
      <c r="BJ86" s="195"/>
      <c r="BK86" s="195"/>
      <c r="BL86" s="195"/>
      <c r="BM86" s="195"/>
      <c r="BN86" s="195"/>
      <c r="BO86" s="195"/>
      <c r="BP86" s="195"/>
      <c r="BQ86" s="195"/>
      <c r="BR86" s="195"/>
      <c r="BS86" s="195"/>
      <c r="BT86" s="195"/>
      <c r="BU86" s="195"/>
      <c r="BV86" s="195"/>
      <c r="BW86" s="195"/>
      <c r="BX86" s="195"/>
      <c r="BY86" s="195"/>
      <c r="BZ86" s="195"/>
      <c r="CA86" s="195"/>
      <c r="CB86" s="195"/>
      <c r="CC86" s="195"/>
      <c r="CD86" s="195"/>
      <c r="CE86" s="195"/>
      <c r="CF86" s="195"/>
      <c r="CG86" s="195"/>
      <c r="CH86" s="195"/>
      <c r="CI86" s="195"/>
      <c r="CJ86" s="195"/>
      <c r="CK86" s="195"/>
      <c r="CL86" s="195"/>
      <c r="CM86" s="195"/>
      <c r="CN86" s="195"/>
      <c r="CO86" s="195"/>
      <c r="CP86" s="195"/>
      <c r="CQ86" s="195"/>
      <c r="CR86" s="195"/>
      <c r="CS86" s="195"/>
      <c r="CT86" s="195"/>
      <c r="CU86" s="195"/>
      <c r="CV86" s="195"/>
      <c r="CW86" s="195"/>
      <c r="CX86" s="195"/>
      <c r="CY86" s="195"/>
      <c r="CZ86" s="195"/>
      <c r="DA86" s="195"/>
      <c r="DB86" s="195"/>
      <c r="DC86" s="195"/>
      <c r="DD86" s="195"/>
      <c r="DE86" s="195"/>
      <c r="DF86" s="195"/>
      <c r="DG86" s="195"/>
      <c r="DH86" s="195"/>
      <c r="DI86" s="195"/>
      <c r="DJ86" s="195"/>
      <c r="DK86" s="195"/>
      <c r="DL86" s="195"/>
      <c r="DM86" s="195"/>
      <c r="DN86" s="195"/>
      <c r="DO86" s="195"/>
      <c r="DP86" s="195"/>
      <c r="DQ86" s="195"/>
      <c r="DR86" s="195"/>
      <c r="DS86" s="195"/>
      <c r="DT86" s="195"/>
      <c r="DU86" s="195"/>
      <c r="DV86" s="195"/>
      <c r="DW86" s="195"/>
      <c r="DX86" s="195"/>
      <c r="EB86" s="335"/>
      <c r="EH86" s="335"/>
      <c r="GP86" s="335"/>
    </row>
    <row r="87" spans="18:198" x14ac:dyDescent="0.25">
      <c r="R87" s="335"/>
      <c r="S87" s="4" t="s">
        <v>32</v>
      </c>
      <c r="T87" s="4" t="s">
        <v>24</v>
      </c>
      <c r="U87" s="157">
        <v>1</v>
      </c>
      <c r="V87" s="157">
        <f>'CycleRAP Model'!O44</f>
        <v>2</v>
      </c>
      <c r="W87" s="162" t="b">
        <f t="shared" si="52"/>
        <v>0</v>
      </c>
      <c r="X87" s="170"/>
      <c r="Y87" s="171"/>
      <c r="Z87" s="171"/>
      <c r="AA87" s="185"/>
      <c r="AB87" s="170"/>
      <c r="AC87" s="171"/>
      <c r="AD87" s="171"/>
      <c r="AE87" s="185"/>
      <c r="AF87" s="197"/>
      <c r="AG87" s="197"/>
      <c r="AH87" s="197"/>
      <c r="AI87" s="197"/>
      <c r="AJ87" s="197"/>
      <c r="AK87" s="197"/>
      <c r="AL87" s="197"/>
      <c r="AM87" s="197"/>
      <c r="AN87" s="197"/>
      <c r="AO87" s="197"/>
      <c r="AP87" s="197"/>
      <c r="AQ87" s="197"/>
      <c r="AR87" s="197"/>
      <c r="AS87" s="197"/>
      <c r="AT87" s="197"/>
      <c r="AU87" s="197"/>
      <c r="AV87" s="208"/>
      <c r="AW87" s="197"/>
      <c r="AX87" s="197"/>
      <c r="AY87" s="202" t="b">
        <v>1</v>
      </c>
      <c r="AZ87" s="202" t="b">
        <v>1</v>
      </c>
      <c r="BA87" s="202" t="b">
        <v>1</v>
      </c>
      <c r="BB87" s="202" t="b">
        <v>1</v>
      </c>
      <c r="BC87" s="197"/>
      <c r="BD87" s="197"/>
      <c r="BE87" s="197"/>
      <c r="BF87" s="197"/>
      <c r="BG87" s="197"/>
      <c r="BH87" s="197"/>
      <c r="BI87" s="197"/>
      <c r="BJ87" s="197"/>
      <c r="BK87" s="197"/>
      <c r="BL87" s="202" t="b">
        <v>1</v>
      </c>
      <c r="BM87" s="197"/>
      <c r="BN87" s="197"/>
      <c r="BO87" s="197"/>
      <c r="BP87" s="197"/>
      <c r="BQ87" s="197"/>
      <c r="BR87" s="197"/>
      <c r="BS87" s="197"/>
      <c r="BT87" s="197"/>
      <c r="BU87" s="197"/>
      <c r="BV87" s="197"/>
      <c r="BW87" s="197"/>
      <c r="BX87" s="197"/>
      <c r="BY87" s="197"/>
      <c r="BZ87" s="197"/>
      <c r="CA87" s="197"/>
      <c r="CB87" s="197"/>
      <c r="CC87" s="197"/>
      <c r="CD87" s="197"/>
      <c r="CE87" s="197"/>
      <c r="CF87" s="197"/>
      <c r="CG87" s="197"/>
      <c r="CH87" s="197"/>
      <c r="CI87" s="197"/>
      <c r="CJ87" s="197"/>
      <c r="CK87" s="197"/>
      <c r="CL87" s="197"/>
      <c r="CM87" s="197"/>
      <c r="CN87" s="197"/>
      <c r="CO87" s="197"/>
      <c r="CP87" s="197"/>
      <c r="CQ87" s="197"/>
      <c r="CR87" s="197"/>
      <c r="CS87" s="197"/>
      <c r="CT87" s="197"/>
      <c r="CU87" s="197"/>
      <c r="CV87" s="197"/>
      <c r="CW87" s="197"/>
      <c r="CX87" s="197"/>
      <c r="CY87" s="197"/>
      <c r="CZ87" s="202" t="b">
        <v>1</v>
      </c>
      <c r="DA87" s="202" t="b">
        <v>1</v>
      </c>
      <c r="DB87" s="202" t="b">
        <v>1</v>
      </c>
      <c r="DC87" s="197"/>
      <c r="DD87" s="197"/>
      <c r="DE87" s="197"/>
      <c r="DF87" s="197"/>
      <c r="DG87" s="202" t="b">
        <v>1</v>
      </c>
      <c r="DH87" s="197"/>
      <c r="DI87" s="197"/>
      <c r="DJ87" s="197"/>
      <c r="DK87" s="197"/>
      <c r="DL87" s="202" t="b">
        <v>1</v>
      </c>
      <c r="DM87" s="197"/>
      <c r="DN87" s="197"/>
      <c r="DO87" s="197"/>
      <c r="DP87" s="202" t="b">
        <v>1</v>
      </c>
      <c r="DQ87" s="197"/>
      <c r="DR87" s="197"/>
      <c r="DS87" s="197"/>
      <c r="DT87" s="197"/>
      <c r="DU87" s="197"/>
      <c r="DV87" s="197"/>
      <c r="DW87" s="197"/>
      <c r="DX87" s="197"/>
      <c r="EB87" s="335"/>
      <c r="EH87" s="335"/>
      <c r="GP87" s="335"/>
    </row>
    <row r="88" spans="18:198" x14ac:dyDescent="0.25">
      <c r="R88" s="335"/>
      <c r="S88" t="str">
        <f>S87</f>
        <v>Intersection or road crossing</v>
      </c>
      <c r="T88" t="s">
        <v>22</v>
      </c>
      <c r="U88">
        <v>2</v>
      </c>
      <c r="V88">
        <f>'CycleRAP Model'!O44</f>
        <v>2</v>
      </c>
      <c r="W88" s="158" t="b">
        <f t="shared" ref="W88:W113" si="58">U88=V88</f>
        <v>1</v>
      </c>
      <c r="X88" s="174"/>
      <c r="Y88" s="173"/>
      <c r="Z88" s="173"/>
      <c r="AA88" s="188"/>
      <c r="AB88" s="174"/>
      <c r="AC88" s="173"/>
      <c r="AD88" s="173"/>
      <c r="AE88" s="188"/>
      <c r="AF88" s="205" t="b">
        <v>1</v>
      </c>
      <c r="AG88" s="205" t="b">
        <v>1</v>
      </c>
      <c r="AH88" s="205" t="b">
        <v>1</v>
      </c>
      <c r="AI88" s="205" t="b">
        <v>1</v>
      </c>
      <c r="AJ88" s="205" t="b">
        <v>1</v>
      </c>
      <c r="AK88" s="205" t="b">
        <v>1</v>
      </c>
      <c r="AL88" s="205" t="b">
        <v>1</v>
      </c>
      <c r="AM88" s="198"/>
      <c r="AN88" s="198"/>
      <c r="AO88" s="198"/>
      <c r="AP88" s="198"/>
      <c r="AQ88" s="198"/>
      <c r="AR88" s="198"/>
      <c r="AS88" s="198"/>
      <c r="AT88" s="198"/>
      <c r="AU88" s="198"/>
      <c r="AV88" s="209"/>
      <c r="AW88" s="198"/>
      <c r="AX88" s="198"/>
      <c r="AY88" s="198"/>
      <c r="AZ88" s="198"/>
      <c r="BA88" s="198"/>
      <c r="BB88" s="198"/>
      <c r="BC88" s="198"/>
      <c r="BD88" s="198"/>
      <c r="BE88" s="198"/>
      <c r="BF88" s="198"/>
      <c r="BG88" s="198"/>
      <c r="BH88" s="198"/>
      <c r="BI88" s="198"/>
      <c r="BJ88" s="198"/>
      <c r="BK88" s="198"/>
      <c r="BL88" s="198"/>
      <c r="BM88" s="198"/>
      <c r="BN88" s="198"/>
      <c r="BO88" s="198"/>
      <c r="BP88" s="198"/>
      <c r="BQ88" s="198"/>
      <c r="BR88" s="198"/>
      <c r="BS88" s="198"/>
      <c r="BT88" s="198"/>
      <c r="BU88" s="198"/>
      <c r="BV88" s="198"/>
      <c r="BW88" s="198"/>
      <c r="BX88" s="198"/>
      <c r="BY88" s="198"/>
      <c r="BZ88" s="198"/>
      <c r="CA88" s="198"/>
      <c r="CB88" s="198"/>
      <c r="CC88" s="198"/>
      <c r="CD88" s="198"/>
      <c r="CE88" s="198"/>
      <c r="CF88" s="198"/>
      <c r="CG88" s="198"/>
      <c r="CH88" s="198"/>
      <c r="CI88" s="198"/>
      <c r="CJ88" s="198"/>
      <c r="CK88" s="198"/>
      <c r="CL88" s="198"/>
      <c r="CM88" s="198"/>
      <c r="CN88" s="198"/>
      <c r="CO88" s="198"/>
      <c r="CP88" s="198"/>
      <c r="CQ88" s="198"/>
      <c r="CR88" s="198"/>
      <c r="CS88" s="198"/>
      <c r="CT88" s="198"/>
      <c r="CU88" s="198"/>
      <c r="CV88" s="198"/>
      <c r="CW88" s="198"/>
      <c r="CX88" s="198"/>
      <c r="CY88" s="198"/>
      <c r="CZ88" s="198"/>
      <c r="DA88" s="198"/>
      <c r="DB88" s="198"/>
      <c r="DC88" s="198"/>
      <c r="DD88" s="198"/>
      <c r="DE88" s="198"/>
      <c r="DF88" s="198"/>
      <c r="DG88" s="198"/>
      <c r="DH88" s="198"/>
      <c r="DI88" s="198"/>
      <c r="DJ88" s="198"/>
      <c r="DK88" s="198"/>
      <c r="DL88" s="198"/>
      <c r="DM88" s="198"/>
      <c r="DN88" s="198"/>
      <c r="DO88" s="198"/>
      <c r="DP88" s="198"/>
      <c r="DQ88" s="198"/>
      <c r="DR88" s="198"/>
      <c r="DS88" s="198"/>
      <c r="DT88" s="198"/>
      <c r="DU88" s="198"/>
      <c r="DV88" s="198"/>
      <c r="DW88" s="198"/>
      <c r="DX88" s="198"/>
      <c r="EB88" s="335"/>
      <c r="EH88" s="335"/>
      <c r="GP88" s="335"/>
    </row>
    <row r="89" spans="18:198" x14ac:dyDescent="0.25">
      <c r="R89" s="335"/>
      <c r="S89" s="4" t="s">
        <v>34</v>
      </c>
      <c r="T89" s="4" t="s">
        <v>216</v>
      </c>
      <c r="U89" s="157">
        <v>1</v>
      </c>
      <c r="V89" s="157">
        <f>'CycleRAP Model'!O45</f>
        <v>2</v>
      </c>
      <c r="W89" s="162" t="b">
        <f t="shared" si="58"/>
        <v>0</v>
      </c>
      <c r="X89" s="166"/>
      <c r="Y89" s="163"/>
      <c r="Z89" s="163"/>
      <c r="AA89" s="181"/>
      <c r="AB89" s="166"/>
      <c r="AC89" s="163"/>
      <c r="AD89" s="163"/>
      <c r="AE89" s="181"/>
      <c r="AF89" s="208"/>
      <c r="AG89" s="197"/>
      <c r="AH89" s="197"/>
      <c r="AI89" s="208"/>
      <c r="AJ89" s="197"/>
      <c r="AK89" s="197"/>
      <c r="AL89" s="197"/>
      <c r="AM89" s="195"/>
      <c r="AN89" s="195"/>
      <c r="AO89" s="195"/>
      <c r="AP89" s="195"/>
      <c r="AQ89" s="195"/>
      <c r="AR89" s="195"/>
      <c r="AS89" s="195"/>
      <c r="AT89" s="195"/>
      <c r="AU89" s="195"/>
      <c r="AV89" s="206"/>
      <c r="AW89" s="195"/>
      <c r="AX89" s="195"/>
      <c r="AY89" s="195"/>
      <c r="AZ89" s="195"/>
      <c r="BA89" s="195"/>
      <c r="BB89" s="195"/>
      <c r="BC89" s="195"/>
      <c r="BD89" s="195"/>
      <c r="BE89" s="195"/>
      <c r="BF89" s="195"/>
      <c r="BG89" s="195"/>
      <c r="BH89" s="195"/>
      <c r="BI89" s="195"/>
      <c r="BJ89" s="195"/>
      <c r="BK89" s="195"/>
      <c r="BL89" s="195"/>
      <c r="BM89" s="195"/>
      <c r="BN89" s="195"/>
      <c r="BO89" s="195"/>
      <c r="BP89" s="195"/>
      <c r="BQ89" s="195"/>
      <c r="BR89" s="195"/>
      <c r="BS89" s="195"/>
      <c r="BT89" s="195"/>
      <c r="BU89" s="195"/>
      <c r="BV89" s="195"/>
      <c r="BW89" s="195"/>
      <c r="BX89" s="195"/>
      <c r="BY89" s="195"/>
      <c r="BZ89" s="195"/>
      <c r="CA89" s="195"/>
      <c r="CB89" s="195"/>
      <c r="CC89" s="195"/>
      <c r="CD89" s="195"/>
      <c r="CE89" s="195"/>
      <c r="CF89" s="195"/>
      <c r="CG89" s="195"/>
      <c r="CH89" s="195"/>
      <c r="CI89" s="195"/>
      <c r="CJ89" s="195"/>
      <c r="CK89" s="195"/>
      <c r="CL89" s="195"/>
      <c r="CM89" s="195"/>
      <c r="CN89" s="195"/>
      <c r="CO89" s="195"/>
      <c r="CP89" s="195"/>
      <c r="CQ89" s="195"/>
      <c r="CR89" s="195"/>
      <c r="CS89" s="195"/>
      <c r="CT89" s="195"/>
      <c r="CU89" s="195"/>
      <c r="CV89" s="195"/>
      <c r="CW89" s="195"/>
      <c r="CX89" s="195"/>
      <c r="CY89" s="195"/>
      <c r="CZ89" s="195"/>
      <c r="DA89" s="195"/>
      <c r="DB89" s="195"/>
      <c r="DC89" s="195"/>
      <c r="DD89" s="195"/>
      <c r="DE89" s="195"/>
      <c r="DF89" s="195"/>
      <c r="DG89" s="195"/>
      <c r="DH89" s="195"/>
      <c r="DI89" s="195"/>
      <c r="DJ89" s="195"/>
      <c r="DK89" s="195"/>
      <c r="DL89" s="195"/>
      <c r="DM89" s="195"/>
      <c r="DN89" s="195"/>
      <c r="DO89" s="195"/>
      <c r="DP89" s="195"/>
      <c r="DQ89" s="195"/>
      <c r="DR89" s="195"/>
      <c r="DS89" s="195"/>
      <c r="DT89" s="195"/>
      <c r="DU89" s="195"/>
      <c r="DV89" s="195"/>
      <c r="DW89" s="195"/>
      <c r="DX89" s="195"/>
      <c r="EB89" s="335"/>
      <c r="EH89" s="335"/>
      <c r="GP89" s="335"/>
    </row>
    <row r="90" spans="18:198" x14ac:dyDescent="0.25">
      <c r="R90" s="335"/>
      <c r="S90" t="str">
        <f>S89</f>
        <v>Crossing facility</v>
      </c>
      <c r="T90" t="s">
        <v>22</v>
      </c>
      <c r="U90">
        <v>2</v>
      </c>
      <c r="V90">
        <f>'CycleRAP Model'!O45</f>
        <v>2</v>
      </c>
      <c r="W90" s="158" t="b">
        <f t="shared" si="58"/>
        <v>1</v>
      </c>
      <c r="X90" s="163"/>
      <c r="Y90" s="166"/>
      <c r="Z90" s="166"/>
      <c r="AA90" s="184"/>
      <c r="AB90" s="163"/>
      <c r="AC90" s="166"/>
      <c r="AD90" s="166"/>
      <c r="AE90" s="184"/>
      <c r="AF90" s="209"/>
      <c r="AG90" s="198"/>
      <c r="AH90" s="198"/>
      <c r="AI90" s="209"/>
      <c r="AJ90" s="198"/>
      <c r="AK90" s="198"/>
      <c r="AL90" s="198"/>
      <c r="AM90" s="195"/>
      <c r="AN90" s="195"/>
      <c r="AO90" s="195"/>
      <c r="AP90" s="195"/>
      <c r="AQ90" s="195"/>
      <c r="AR90" s="195"/>
      <c r="AS90" s="195"/>
      <c r="AT90" s="195"/>
      <c r="AU90" s="195"/>
      <c r="AV90" s="206"/>
      <c r="AW90" s="195"/>
      <c r="AX90" s="195"/>
      <c r="AY90" s="195"/>
      <c r="AZ90" s="201" t="b">
        <v>1</v>
      </c>
      <c r="BA90" s="195"/>
      <c r="BB90" s="201" t="b">
        <v>1</v>
      </c>
      <c r="BC90" s="195"/>
      <c r="BD90" s="195"/>
      <c r="BE90" s="195"/>
      <c r="BF90" s="195"/>
      <c r="BG90" s="195"/>
      <c r="BH90" s="195"/>
      <c r="BI90" s="195"/>
      <c r="BJ90" s="195"/>
      <c r="BK90" s="195"/>
      <c r="BL90" s="195"/>
      <c r="BM90" s="195"/>
      <c r="BN90" s="195"/>
      <c r="BO90" s="195"/>
      <c r="BP90" s="195"/>
      <c r="BQ90" s="195"/>
      <c r="BR90" s="195"/>
      <c r="BS90" s="195"/>
      <c r="BT90" s="195"/>
      <c r="BU90" s="195"/>
      <c r="BV90" s="195"/>
      <c r="BW90" s="195"/>
      <c r="BX90" s="195"/>
      <c r="BY90" s="195"/>
      <c r="BZ90" s="195"/>
      <c r="CA90" s="195"/>
      <c r="CB90" s="195"/>
      <c r="CC90" s="195"/>
      <c r="CD90" s="195"/>
      <c r="CE90" s="195"/>
      <c r="CF90" s="195"/>
      <c r="CG90" s="195"/>
      <c r="CH90" s="195"/>
      <c r="CI90" s="195"/>
      <c r="CJ90" s="195"/>
      <c r="CK90" s="195"/>
      <c r="CL90" s="195"/>
      <c r="CM90" s="195"/>
      <c r="CN90" s="195"/>
      <c r="CO90" s="195"/>
      <c r="CP90" s="195"/>
      <c r="CQ90" s="195"/>
      <c r="CR90" s="195"/>
      <c r="CS90" s="195"/>
      <c r="CT90" s="195"/>
      <c r="CU90" s="195"/>
      <c r="CV90" s="195"/>
      <c r="CW90" s="195"/>
      <c r="CX90" s="195"/>
      <c r="CY90" s="195"/>
      <c r="CZ90" s="201" t="b">
        <v>1</v>
      </c>
      <c r="DA90" s="195"/>
      <c r="DB90" s="195"/>
      <c r="DC90" s="195"/>
      <c r="DD90" s="195"/>
      <c r="DE90" s="195"/>
      <c r="DF90" s="195"/>
      <c r="DG90" s="195"/>
      <c r="DH90" s="195"/>
      <c r="DI90" s="195"/>
      <c r="DJ90" s="195"/>
      <c r="DK90" s="195"/>
      <c r="DL90" s="195"/>
      <c r="DM90" s="195"/>
      <c r="DN90" s="195"/>
      <c r="DO90" s="195"/>
      <c r="DP90" s="195"/>
      <c r="DQ90" s="195"/>
      <c r="DR90" s="195"/>
      <c r="DS90" s="195"/>
      <c r="DT90" s="195"/>
      <c r="DU90" s="195"/>
      <c r="DV90" s="195"/>
      <c r="DW90" s="195"/>
      <c r="DX90" s="195"/>
      <c r="EB90" s="335"/>
      <c r="EH90" s="335"/>
      <c r="GP90" s="335"/>
    </row>
    <row r="91" spans="18:198" x14ac:dyDescent="0.25">
      <c r="R91" s="335"/>
      <c r="S91" s="4" t="s">
        <v>36</v>
      </c>
      <c r="T91" s="4" t="s">
        <v>221</v>
      </c>
      <c r="U91" s="157">
        <v>1</v>
      </c>
      <c r="V91" s="157">
        <f>'CycleRAP Model'!O46</f>
        <v>2</v>
      </c>
      <c r="W91" s="162" t="b">
        <f t="shared" si="58"/>
        <v>0</v>
      </c>
      <c r="X91" s="170"/>
      <c r="Y91" s="171"/>
      <c r="Z91" s="186" t="b">
        <v>1</v>
      </c>
      <c r="AA91" s="186" t="b">
        <v>1</v>
      </c>
      <c r="AB91" s="170"/>
      <c r="AC91" s="171"/>
      <c r="AD91" s="186" t="b">
        <v>1</v>
      </c>
      <c r="AE91" s="186" t="b">
        <v>1</v>
      </c>
      <c r="AF91" s="208"/>
      <c r="AG91" s="197"/>
      <c r="AH91" s="197"/>
      <c r="AI91" s="208"/>
      <c r="AJ91" s="197"/>
      <c r="AK91" s="197"/>
      <c r="AL91" s="197"/>
      <c r="AM91" s="197"/>
      <c r="AN91" s="197"/>
      <c r="AO91" s="197"/>
      <c r="AP91" s="197"/>
      <c r="AQ91" s="197"/>
      <c r="AR91" s="197"/>
      <c r="AS91" s="197"/>
      <c r="AT91" s="197"/>
      <c r="AU91" s="197"/>
      <c r="AV91" s="208"/>
      <c r="AW91" s="197"/>
      <c r="AX91" s="197"/>
      <c r="AY91" s="197"/>
      <c r="AZ91" s="197"/>
      <c r="BA91" s="197"/>
      <c r="BB91" s="197"/>
      <c r="BC91" s="197"/>
      <c r="BD91" s="197"/>
      <c r="BE91" s="197"/>
      <c r="BF91" s="197"/>
      <c r="BG91" s="197"/>
      <c r="BH91" s="197"/>
      <c r="BI91" s="197"/>
      <c r="BJ91" s="197"/>
      <c r="BK91" s="197"/>
      <c r="BL91" s="197"/>
      <c r="BM91" s="197"/>
      <c r="BN91" s="197"/>
      <c r="BO91" s="197"/>
      <c r="BP91" s="197"/>
      <c r="BQ91" s="197"/>
      <c r="BR91" s="197"/>
      <c r="BS91" s="197"/>
      <c r="BT91" s="197"/>
      <c r="BU91" s="197"/>
      <c r="BV91" s="197"/>
      <c r="BW91" s="197"/>
      <c r="BX91" s="197"/>
      <c r="BY91" s="197"/>
      <c r="BZ91" s="197"/>
      <c r="CA91" s="197"/>
      <c r="CB91" s="197"/>
      <c r="CC91" s="197"/>
      <c r="CD91" s="197"/>
      <c r="CE91" s="197"/>
      <c r="CF91" s="197"/>
      <c r="CG91" s="197"/>
      <c r="CH91" s="197"/>
      <c r="CI91" s="197"/>
      <c r="CJ91" s="197"/>
      <c r="CK91" s="197"/>
      <c r="CL91" s="197"/>
      <c r="CM91" s="197"/>
      <c r="CN91" s="197"/>
      <c r="CO91" s="197"/>
      <c r="CP91" s="197"/>
      <c r="CQ91" s="197"/>
      <c r="CR91" s="197"/>
      <c r="CS91" s="197"/>
      <c r="CT91" s="197"/>
      <c r="CU91" s="197"/>
      <c r="CV91" s="197"/>
      <c r="CW91" s="197"/>
      <c r="CX91" s="197"/>
      <c r="CY91" s="197"/>
      <c r="CZ91" s="197"/>
      <c r="DA91" s="197"/>
      <c r="DB91" s="197"/>
      <c r="DC91" s="197"/>
      <c r="DD91" s="197"/>
      <c r="DE91" s="197"/>
      <c r="DF91" s="197"/>
      <c r="DG91" s="197"/>
      <c r="DH91" s="197"/>
      <c r="DI91" s="197"/>
      <c r="DJ91" s="197"/>
      <c r="DK91" s="197"/>
      <c r="DL91" s="197"/>
      <c r="DM91" s="197"/>
      <c r="DN91" s="197"/>
      <c r="DO91" s="197"/>
      <c r="DP91" s="197"/>
      <c r="DQ91" s="197"/>
      <c r="DR91" s="197"/>
      <c r="DS91" s="197"/>
      <c r="DT91" s="197"/>
      <c r="DU91" s="197"/>
      <c r="DV91" s="197"/>
      <c r="DW91" s="197"/>
      <c r="DX91" s="197"/>
      <c r="EB91" s="335"/>
      <c r="EH91" s="335"/>
      <c r="GP91" s="335"/>
    </row>
    <row r="92" spans="18:198" x14ac:dyDescent="0.25">
      <c r="R92" s="335"/>
      <c r="S92" t="str">
        <f>S91</f>
        <v>Number of lanes – adjacent road</v>
      </c>
      <c r="T92" t="s">
        <v>37</v>
      </c>
      <c r="U92">
        <v>2</v>
      </c>
      <c r="V92">
        <f>'CycleRAP Model'!O46</f>
        <v>2</v>
      </c>
      <c r="W92" s="158" t="b">
        <f t="shared" si="58"/>
        <v>1</v>
      </c>
      <c r="X92" s="174"/>
      <c r="Y92" s="173"/>
      <c r="Z92" s="173"/>
      <c r="AA92" s="188"/>
      <c r="AB92" s="174"/>
      <c r="AC92" s="173"/>
      <c r="AD92" s="173"/>
      <c r="AE92" s="188"/>
      <c r="AF92" s="209"/>
      <c r="AG92" s="198"/>
      <c r="AH92" s="198"/>
      <c r="AI92" s="209"/>
      <c r="AJ92" s="198"/>
      <c r="AK92" s="198"/>
      <c r="AL92" s="198"/>
      <c r="AM92" s="198"/>
      <c r="AN92" s="198"/>
      <c r="AO92" s="198"/>
      <c r="AP92" s="200" t="b">
        <v>1</v>
      </c>
      <c r="AQ92" s="198"/>
      <c r="AR92" s="198"/>
      <c r="AS92" s="200" t="b">
        <v>1</v>
      </c>
      <c r="AT92" s="198"/>
      <c r="AU92" s="198"/>
      <c r="AV92" s="209"/>
      <c r="AW92" s="198"/>
      <c r="AX92" s="198"/>
      <c r="AY92" s="198"/>
      <c r="AZ92" s="198"/>
      <c r="BA92" s="198"/>
      <c r="BB92" s="198"/>
      <c r="BC92" s="198"/>
      <c r="BD92" s="198"/>
      <c r="BE92" s="198"/>
      <c r="BF92" s="198"/>
      <c r="BG92" s="198"/>
      <c r="BH92" s="198"/>
      <c r="BI92" s="198"/>
      <c r="BJ92" s="198"/>
      <c r="BK92" s="198"/>
      <c r="BL92" s="198"/>
      <c r="BM92" s="198"/>
      <c r="BN92" s="198"/>
      <c r="BO92" s="198"/>
      <c r="BP92" s="198"/>
      <c r="BQ92" s="198"/>
      <c r="BR92" s="198"/>
      <c r="BS92" s="198"/>
      <c r="BT92" s="198"/>
      <c r="BU92" s="198"/>
      <c r="BV92" s="198"/>
      <c r="BW92" s="198"/>
      <c r="BX92" s="198"/>
      <c r="BY92" s="198"/>
      <c r="BZ92" s="198"/>
      <c r="CA92" s="198"/>
      <c r="CB92" s="198"/>
      <c r="CC92" s="198"/>
      <c r="CD92" s="198"/>
      <c r="CE92" s="198"/>
      <c r="CF92" s="198"/>
      <c r="CG92" s="198"/>
      <c r="CH92" s="198"/>
      <c r="CI92" s="198"/>
      <c r="CJ92" s="198"/>
      <c r="CK92" s="198"/>
      <c r="CL92" s="198"/>
      <c r="CM92" s="198"/>
      <c r="CN92" s="198"/>
      <c r="CO92" s="198"/>
      <c r="CP92" s="198"/>
      <c r="CQ92" s="198"/>
      <c r="CR92" s="198"/>
      <c r="CS92" s="198"/>
      <c r="CT92" s="198"/>
      <c r="CU92" s="198"/>
      <c r="CV92" s="198"/>
      <c r="CW92" s="198"/>
      <c r="CX92" s="198"/>
      <c r="CY92" s="198"/>
      <c r="CZ92" s="198"/>
      <c r="DA92" s="198"/>
      <c r="DB92" s="198"/>
      <c r="DC92" s="198"/>
      <c r="DD92" s="198"/>
      <c r="DE92" s="198"/>
      <c r="DF92" s="198"/>
      <c r="DG92" s="198"/>
      <c r="DH92" s="198"/>
      <c r="DI92" s="198"/>
      <c r="DJ92" s="198"/>
      <c r="DK92" s="198"/>
      <c r="DL92" s="198"/>
      <c r="DM92" s="198"/>
      <c r="DN92" s="198"/>
      <c r="DO92" s="198"/>
      <c r="DP92" s="198"/>
      <c r="DQ92" s="198"/>
      <c r="DR92" s="198"/>
      <c r="DS92" s="198"/>
      <c r="DT92" s="198"/>
      <c r="DU92" s="198"/>
      <c r="DV92" s="198"/>
      <c r="DW92" s="198"/>
      <c r="DX92" s="198"/>
      <c r="EB92" s="335"/>
      <c r="EH92" s="335"/>
      <c r="GP92" s="335"/>
    </row>
    <row r="93" spans="18:198" x14ac:dyDescent="0.25">
      <c r="R93" s="335"/>
      <c r="S93" s="4" t="s">
        <v>39</v>
      </c>
      <c r="T93" s="4" t="s">
        <v>224</v>
      </c>
      <c r="U93" s="157">
        <v>1</v>
      </c>
      <c r="V93" s="157">
        <f>'CycleRAP Model'!O47</f>
        <v>1</v>
      </c>
      <c r="W93" s="162" t="b">
        <f t="shared" si="58"/>
        <v>1</v>
      </c>
      <c r="X93" s="166"/>
      <c r="Y93" s="163"/>
      <c r="Z93" s="163"/>
      <c r="AA93" s="181"/>
      <c r="AB93" s="166"/>
      <c r="AC93" s="163"/>
      <c r="AD93" s="163"/>
      <c r="AE93" s="181"/>
      <c r="AF93" s="206"/>
      <c r="AG93" s="195"/>
      <c r="AH93" s="195"/>
      <c r="AI93" s="206"/>
      <c r="AJ93" s="195"/>
      <c r="AK93" s="195"/>
      <c r="AL93" s="195"/>
      <c r="AM93" s="195"/>
      <c r="AN93" s="195"/>
      <c r="AO93" s="195"/>
      <c r="AP93" s="195"/>
      <c r="AQ93" s="195"/>
      <c r="AR93" s="195"/>
      <c r="AS93" s="195"/>
      <c r="AT93" s="195"/>
      <c r="AU93" s="195"/>
      <c r="AV93" s="206"/>
      <c r="AW93" s="195"/>
      <c r="AX93" s="195"/>
      <c r="AY93" s="195"/>
      <c r="AZ93" s="195"/>
      <c r="BA93" s="195"/>
      <c r="BB93" s="195"/>
      <c r="BC93" s="195"/>
      <c r="BD93" s="195"/>
      <c r="BE93" s="195"/>
      <c r="BF93" s="195"/>
      <c r="BG93" s="195"/>
      <c r="BH93" s="195"/>
      <c r="BI93" s="195"/>
      <c r="BJ93" s="195"/>
      <c r="BK93" s="195"/>
      <c r="BL93" s="195"/>
      <c r="BM93" s="195"/>
      <c r="BN93" s="195"/>
      <c r="BO93" s="195"/>
      <c r="BP93" s="195"/>
      <c r="BQ93" s="195"/>
      <c r="BR93" s="195"/>
      <c r="BS93" s="195"/>
      <c r="BT93" s="195"/>
      <c r="BU93" s="195"/>
      <c r="BV93" s="195"/>
      <c r="BW93" s="195"/>
      <c r="BX93" s="195"/>
      <c r="BY93" s="195"/>
      <c r="BZ93" s="195"/>
      <c r="CA93" s="195"/>
      <c r="CB93" s="195"/>
      <c r="CC93" s="195"/>
      <c r="CD93" s="195"/>
      <c r="CE93" s="195"/>
      <c r="CF93" s="195"/>
      <c r="CG93" s="195"/>
      <c r="CH93" s="195"/>
      <c r="CI93" s="195"/>
      <c r="CJ93" s="195"/>
      <c r="CK93" s="195"/>
      <c r="CL93" s="195"/>
      <c r="CM93" s="195"/>
      <c r="CN93" s="195"/>
      <c r="CO93" s="195"/>
      <c r="CP93" s="195"/>
      <c r="CQ93" s="195"/>
      <c r="CR93" s="195"/>
      <c r="CS93" s="195"/>
      <c r="CT93" s="195"/>
      <c r="CU93" s="195"/>
      <c r="CV93" s="195"/>
      <c r="CW93" s="195"/>
      <c r="CX93" s="195"/>
      <c r="CY93" s="195"/>
      <c r="CZ93" s="195"/>
      <c r="DA93" s="195"/>
      <c r="DB93" s="195"/>
      <c r="DC93" s="195"/>
      <c r="DD93" s="195"/>
      <c r="DE93" s="195"/>
      <c r="DF93" s="195"/>
      <c r="DG93" s="195"/>
      <c r="DH93" s="195"/>
      <c r="DI93" s="195"/>
      <c r="DJ93" s="195"/>
      <c r="DK93" s="195"/>
      <c r="DL93" s="195"/>
      <c r="DM93" s="195"/>
      <c r="DN93" s="195"/>
      <c r="DO93" s="195"/>
      <c r="DP93" s="195"/>
      <c r="DQ93" s="195"/>
      <c r="DR93" s="195"/>
      <c r="DS93" s="195"/>
      <c r="DT93" s="195"/>
      <c r="DU93" s="195"/>
      <c r="DV93" s="195"/>
      <c r="DW93" s="195"/>
      <c r="DX93" s="195"/>
      <c r="EB93" s="335"/>
      <c r="EH93" s="335"/>
      <c r="GP93" s="335"/>
    </row>
    <row r="94" spans="18:198" x14ac:dyDescent="0.25">
      <c r="R94" s="335"/>
      <c r="S94" t="str">
        <f>S93</f>
        <v>Number of lanes – intersecting road</v>
      </c>
      <c r="T94" t="s">
        <v>37</v>
      </c>
      <c r="U94">
        <v>2</v>
      </c>
      <c r="V94">
        <f>'CycleRAP Model'!O47</f>
        <v>1</v>
      </c>
      <c r="W94" s="158" t="b">
        <f t="shared" si="58"/>
        <v>0</v>
      </c>
      <c r="X94" s="163"/>
      <c r="Y94" s="166"/>
      <c r="Z94" s="166"/>
      <c r="AA94" s="184"/>
      <c r="AB94" s="163"/>
      <c r="AC94" s="166"/>
      <c r="AD94" s="166"/>
      <c r="AE94" s="184"/>
      <c r="AF94" s="206"/>
      <c r="AG94" s="195"/>
      <c r="AH94" s="195"/>
      <c r="AI94" s="206"/>
      <c r="AJ94" s="195"/>
      <c r="AK94" s="195"/>
      <c r="AL94" s="195"/>
      <c r="AM94" s="195"/>
      <c r="AN94" s="195"/>
      <c r="AO94" s="195"/>
      <c r="AP94" s="195"/>
      <c r="AQ94" s="195"/>
      <c r="AR94" s="195"/>
      <c r="AS94" s="195"/>
      <c r="AT94" s="195"/>
      <c r="AU94" s="195"/>
      <c r="AV94" s="206"/>
      <c r="AW94" s="195"/>
      <c r="AX94" s="195"/>
      <c r="AY94" s="201" t="b">
        <v>1</v>
      </c>
      <c r="AZ94" s="195"/>
      <c r="BA94" s="195"/>
      <c r="BB94" s="195"/>
      <c r="BC94" s="195"/>
      <c r="BD94" s="195"/>
      <c r="BE94" s="195"/>
      <c r="BF94" s="195"/>
      <c r="BG94" s="195"/>
      <c r="BH94" s="195"/>
      <c r="BI94" s="195"/>
      <c r="BJ94" s="195"/>
      <c r="BK94" s="195"/>
      <c r="BL94" s="195"/>
      <c r="BM94" s="195"/>
      <c r="BN94" s="195"/>
      <c r="BO94" s="195"/>
      <c r="BP94" s="195"/>
      <c r="BQ94" s="195"/>
      <c r="BR94" s="195"/>
      <c r="BS94" s="195"/>
      <c r="BT94" s="195"/>
      <c r="BU94" s="195"/>
      <c r="BV94" s="195"/>
      <c r="BW94" s="195"/>
      <c r="BX94" s="195"/>
      <c r="BY94" s="195"/>
      <c r="BZ94" s="195"/>
      <c r="CA94" s="195"/>
      <c r="CB94" s="195"/>
      <c r="CC94" s="195"/>
      <c r="CD94" s="195"/>
      <c r="CE94" s="195"/>
      <c r="CF94" s="195"/>
      <c r="CG94" s="195"/>
      <c r="CH94" s="195"/>
      <c r="CI94" s="195"/>
      <c r="CJ94" s="195"/>
      <c r="CK94" s="195"/>
      <c r="CL94" s="195"/>
      <c r="CM94" s="195"/>
      <c r="CN94" s="195"/>
      <c r="CO94" s="195"/>
      <c r="CP94" s="195"/>
      <c r="CQ94" s="195"/>
      <c r="CR94" s="195"/>
      <c r="CS94" s="195"/>
      <c r="CT94" s="195"/>
      <c r="CU94" s="195"/>
      <c r="CV94" s="201" t="b">
        <v>1</v>
      </c>
      <c r="CW94" s="195"/>
      <c r="CX94" s="195"/>
      <c r="CY94" s="195"/>
      <c r="CZ94" s="195"/>
      <c r="DA94" s="201" t="b">
        <v>1</v>
      </c>
      <c r="DB94" s="201" t="b">
        <v>1</v>
      </c>
      <c r="DC94" s="195"/>
      <c r="DD94" s="195"/>
      <c r="DE94" s="195"/>
      <c r="DF94" s="195"/>
      <c r="DG94" s="195"/>
      <c r="DH94" s="195"/>
      <c r="DI94" s="195"/>
      <c r="DJ94" s="195"/>
      <c r="DK94" s="195"/>
      <c r="DL94" s="195"/>
      <c r="DM94" s="195"/>
      <c r="DN94" s="195"/>
      <c r="DO94" s="195"/>
      <c r="DP94" s="195"/>
      <c r="DQ94" s="195"/>
      <c r="DR94" s="195"/>
      <c r="DS94" s="195"/>
      <c r="DT94" s="195"/>
      <c r="DU94" s="195"/>
      <c r="DV94" s="195"/>
      <c r="DW94" s="195"/>
      <c r="DX94" s="195"/>
      <c r="EB94" s="335"/>
      <c r="EH94" s="335"/>
      <c r="GP94" s="335"/>
    </row>
    <row r="95" spans="18:198" x14ac:dyDescent="0.25">
      <c r="R95" s="335"/>
      <c r="S95" s="4" t="s">
        <v>42</v>
      </c>
      <c r="T95" s="4" t="s">
        <v>24</v>
      </c>
      <c r="U95" s="157">
        <v>1</v>
      </c>
      <c r="V95" s="157">
        <f>'CycleRAP Model'!O48</f>
        <v>2</v>
      </c>
      <c r="W95" s="162" t="b">
        <f t="shared" si="58"/>
        <v>0</v>
      </c>
      <c r="X95" s="170"/>
      <c r="Y95" s="171"/>
      <c r="Z95" s="171"/>
      <c r="AA95" s="185"/>
      <c r="AB95" s="170"/>
      <c r="AC95" s="171"/>
      <c r="AD95" s="171"/>
      <c r="AE95" s="185"/>
      <c r="AF95" s="208"/>
      <c r="AG95" s="197"/>
      <c r="AH95" s="197"/>
      <c r="AI95" s="208"/>
      <c r="AJ95" s="197"/>
      <c r="AK95" s="197"/>
      <c r="AL95" s="197"/>
      <c r="AM95" s="202" t="b">
        <v>1</v>
      </c>
      <c r="AN95" s="202" t="b">
        <v>1</v>
      </c>
      <c r="AO95" s="197"/>
      <c r="AP95" s="197"/>
      <c r="AQ95" s="197"/>
      <c r="AR95" s="197"/>
      <c r="AS95" s="197"/>
      <c r="AT95" s="197"/>
      <c r="AU95" s="197"/>
      <c r="AV95" s="208"/>
      <c r="AW95" s="197"/>
      <c r="AX95" s="197"/>
      <c r="AY95" s="197"/>
      <c r="AZ95" s="197"/>
      <c r="BA95" s="197"/>
      <c r="BB95" s="197"/>
      <c r="BC95" s="197"/>
      <c r="BD95" s="197"/>
      <c r="BE95" s="197"/>
      <c r="BF95" s="197"/>
      <c r="BG95" s="197"/>
      <c r="BH95" s="197"/>
      <c r="BI95" s="197"/>
      <c r="BJ95" s="202" t="b">
        <v>1</v>
      </c>
      <c r="BK95" s="197"/>
      <c r="BL95" s="197"/>
      <c r="BM95" s="197"/>
      <c r="BN95" s="197"/>
      <c r="BO95" s="197"/>
      <c r="BP95" s="197"/>
      <c r="BQ95" s="197"/>
      <c r="BR95" s="197"/>
      <c r="BS95" s="197"/>
      <c r="BT95" s="197"/>
      <c r="BU95" s="197"/>
      <c r="BV95" s="197"/>
      <c r="BW95" s="197"/>
      <c r="BX95" s="197"/>
      <c r="BY95" s="197"/>
      <c r="BZ95" s="197"/>
      <c r="CA95" s="197"/>
      <c r="CB95" s="197"/>
      <c r="CC95" s="197"/>
      <c r="CD95" s="197"/>
      <c r="CE95" s="197"/>
      <c r="CF95" s="197"/>
      <c r="CG95" s="197"/>
      <c r="CH95" s="197"/>
      <c r="CI95" s="197"/>
      <c r="CJ95" s="197"/>
      <c r="CK95" s="197"/>
      <c r="CL95" s="197"/>
      <c r="CM95" s="197"/>
      <c r="CN95" s="197"/>
      <c r="CO95" s="197"/>
      <c r="CP95" s="197"/>
      <c r="CQ95" s="197"/>
      <c r="CR95" s="197"/>
      <c r="CS95" s="197"/>
      <c r="CT95" s="197"/>
      <c r="CU95" s="197"/>
      <c r="CV95" s="197"/>
      <c r="CW95" s="197"/>
      <c r="CX95" s="197"/>
      <c r="CY95" s="197"/>
      <c r="CZ95" s="197"/>
      <c r="DA95" s="197"/>
      <c r="DB95" s="197"/>
      <c r="DC95" s="197"/>
      <c r="DD95" s="197"/>
      <c r="DE95" s="197"/>
      <c r="DF95" s="197"/>
      <c r="DG95" s="197"/>
      <c r="DH95" s="197"/>
      <c r="DI95" s="197"/>
      <c r="DJ95" s="197"/>
      <c r="DK95" s="197"/>
      <c r="DL95" s="197"/>
      <c r="DM95" s="197"/>
      <c r="DN95" s="197"/>
      <c r="DO95" s="197"/>
      <c r="DP95" s="197"/>
      <c r="DQ95" s="197"/>
      <c r="DR95" s="197"/>
      <c r="DS95" s="197"/>
      <c r="DT95" s="197"/>
      <c r="DU95" s="197"/>
      <c r="DV95" s="197"/>
      <c r="DW95" s="197"/>
      <c r="DX95" s="197"/>
      <c r="EB95" s="335"/>
      <c r="EH95" s="335"/>
      <c r="GP95" s="335"/>
    </row>
    <row r="96" spans="18:198" x14ac:dyDescent="0.25">
      <c r="R96" s="335"/>
      <c r="S96" t="str">
        <f>S95</f>
        <v>Property access</v>
      </c>
      <c r="T96" t="s">
        <v>22</v>
      </c>
      <c r="U96">
        <v>2</v>
      </c>
      <c r="V96">
        <f>'CycleRAP Model'!O48</f>
        <v>2</v>
      </c>
      <c r="W96" s="158" t="b">
        <f t="shared" si="58"/>
        <v>1</v>
      </c>
      <c r="X96" s="174"/>
      <c r="Y96" s="173"/>
      <c r="Z96" s="173"/>
      <c r="AA96" s="188"/>
      <c r="AB96" s="174"/>
      <c r="AC96" s="173"/>
      <c r="AD96" s="173"/>
      <c r="AE96" s="188"/>
      <c r="AF96" s="209"/>
      <c r="AG96" s="198"/>
      <c r="AH96" s="198"/>
      <c r="AI96" s="209"/>
      <c r="AJ96" s="198"/>
      <c r="AK96" s="198"/>
      <c r="AL96" s="198"/>
      <c r="AM96" s="198"/>
      <c r="AN96" s="198"/>
      <c r="AO96" s="198"/>
      <c r="AP96" s="198"/>
      <c r="AQ96" s="198"/>
      <c r="AR96" s="198"/>
      <c r="AS96" s="198"/>
      <c r="AT96" s="198"/>
      <c r="AU96" s="198"/>
      <c r="AV96" s="209"/>
      <c r="AW96" s="198"/>
      <c r="AX96" s="198"/>
      <c r="AY96" s="198"/>
      <c r="AZ96" s="198"/>
      <c r="BA96" s="198"/>
      <c r="BB96" s="198"/>
      <c r="BC96" s="198"/>
      <c r="BD96" s="198"/>
      <c r="BE96" s="198"/>
      <c r="BF96" s="198"/>
      <c r="BG96" s="198"/>
      <c r="BH96" s="198"/>
      <c r="BI96" s="198"/>
      <c r="BJ96" s="198"/>
      <c r="BK96" s="198"/>
      <c r="BL96" s="198"/>
      <c r="BM96" s="198"/>
      <c r="BN96" s="198"/>
      <c r="BO96" s="198"/>
      <c r="BP96" s="198"/>
      <c r="BQ96" s="198"/>
      <c r="BR96" s="198"/>
      <c r="BS96" s="198"/>
      <c r="BT96" s="198"/>
      <c r="BU96" s="198"/>
      <c r="BV96" s="198"/>
      <c r="BW96" s="198"/>
      <c r="BX96" s="198"/>
      <c r="BY96" s="198"/>
      <c r="BZ96" s="198"/>
      <c r="CA96" s="198"/>
      <c r="CB96" s="198"/>
      <c r="CC96" s="198"/>
      <c r="CD96" s="198"/>
      <c r="CE96" s="198"/>
      <c r="CF96" s="198"/>
      <c r="CG96" s="198"/>
      <c r="CH96" s="198"/>
      <c r="CI96" s="198"/>
      <c r="CJ96" s="198"/>
      <c r="CK96" s="198"/>
      <c r="CL96" s="198"/>
      <c r="CM96" s="198"/>
      <c r="CN96" s="198"/>
      <c r="CO96" s="198"/>
      <c r="CP96" s="198"/>
      <c r="CQ96" s="198"/>
      <c r="CR96" s="198"/>
      <c r="CS96" s="198"/>
      <c r="CT96" s="198"/>
      <c r="CU96" s="198"/>
      <c r="CV96" s="198"/>
      <c r="CW96" s="198"/>
      <c r="CX96" s="198"/>
      <c r="CY96" s="198"/>
      <c r="CZ96" s="198"/>
      <c r="DA96" s="198"/>
      <c r="DB96" s="198"/>
      <c r="DC96" s="198"/>
      <c r="DD96" s="198"/>
      <c r="DE96" s="198"/>
      <c r="DF96" s="198"/>
      <c r="DG96" s="198"/>
      <c r="DH96" s="198"/>
      <c r="DI96" s="198"/>
      <c r="DJ96" s="198"/>
      <c r="DK96" s="198"/>
      <c r="DL96" s="198"/>
      <c r="DM96" s="198"/>
      <c r="DN96" s="198"/>
      <c r="DO96" s="198"/>
      <c r="DP96" s="198"/>
      <c r="DQ96" s="198"/>
      <c r="DR96" s="198"/>
      <c r="DS96" s="198"/>
      <c r="DT96" s="198"/>
      <c r="DU96" s="198"/>
      <c r="DV96" s="198"/>
      <c r="DW96" s="198"/>
      <c r="DX96" s="198"/>
      <c r="EB96" s="335"/>
      <c r="EH96" s="335"/>
      <c r="GP96" s="335"/>
    </row>
    <row r="97" spans="2:198" x14ac:dyDescent="0.25">
      <c r="R97" s="335"/>
      <c r="S97" s="4" t="s">
        <v>45</v>
      </c>
      <c r="T97" s="4" t="s">
        <v>228</v>
      </c>
      <c r="U97" s="157">
        <v>1</v>
      </c>
      <c r="V97" s="157">
        <f>'CycleRAP Model'!O49</f>
        <v>3</v>
      </c>
      <c r="W97" s="162" t="b">
        <f t="shared" si="58"/>
        <v>0</v>
      </c>
      <c r="X97" s="170"/>
      <c r="Y97" s="171"/>
      <c r="Z97" s="171"/>
      <c r="AA97" s="185"/>
      <c r="AB97" s="170"/>
      <c r="AC97" s="171"/>
      <c r="AD97" s="171"/>
      <c r="AE97" s="185"/>
      <c r="AF97" s="208"/>
      <c r="AG97" s="197"/>
      <c r="AH97" s="197"/>
      <c r="AI97" s="208"/>
      <c r="AJ97" s="197"/>
      <c r="AK97" s="197"/>
      <c r="AL97" s="197"/>
      <c r="AM97" s="197"/>
      <c r="AN97" s="197"/>
      <c r="AO97" s="197"/>
      <c r="AP97" s="197"/>
      <c r="AQ97" s="197"/>
      <c r="AR97" s="197"/>
      <c r="AS97" s="197"/>
      <c r="AT97" s="197"/>
      <c r="AU97" s="197"/>
      <c r="AV97" s="208"/>
      <c r="AW97" s="197"/>
      <c r="AX97" s="197"/>
      <c r="AY97" s="197"/>
      <c r="AZ97" s="197"/>
      <c r="BA97" s="197"/>
      <c r="BB97" s="197"/>
      <c r="BC97" s="197"/>
      <c r="BD97" s="197"/>
      <c r="BE97" s="197"/>
      <c r="BF97" s="197"/>
      <c r="BG97" s="197"/>
      <c r="BH97" s="197"/>
      <c r="BI97" s="197"/>
      <c r="BJ97" s="197"/>
      <c r="BK97" s="197"/>
      <c r="BL97" s="197"/>
      <c r="BM97" s="197"/>
      <c r="BN97" s="197"/>
      <c r="BO97" s="197"/>
      <c r="BP97" s="197"/>
      <c r="BQ97" s="197"/>
      <c r="BR97" s="197"/>
      <c r="BS97" s="197"/>
      <c r="BT97" s="197"/>
      <c r="BU97" s="197"/>
      <c r="BV97" s="197"/>
      <c r="BW97" s="197"/>
      <c r="BX97" s="197"/>
      <c r="BY97" s="197"/>
      <c r="BZ97" s="197"/>
      <c r="CA97" s="197"/>
      <c r="CB97" s="197"/>
      <c r="CC97" s="197"/>
      <c r="CD97" s="197"/>
      <c r="CE97" s="197"/>
      <c r="CF97" s="197"/>
      <c r="CG97" s="197"/>
      <c r="CH97" s="197"/>
      <c r="CI97" s="197"/>
      <c r="CJ97" s="197"/>
      <c r="CK97" s="197"/>
      <c r="CL97" s="197"/>
      <c r="CM97" s="197"/>
      <c r="CN97" s="197"/>
      <c r="CO97" s="197"/>
      <c r="CP97" s="197"/>
      <c r="CQ97" s="197"/>
      <c r="CR97" s="197"/>
      <c r="CS97" s="197"/>
      <c r="CT97" s="197"/>
      <c r="CU97" s="197"/>
      <c r="CV97" s="197"/>
      <c r="CW97" s="197"/>
      <c r="CX97" s="197"/>
      <c r="CY97" s="197"/>
      <c r="CZ97" s="197"/>
      <c r="DA97" s="197"/>
      <c r="DB97" s="197"/>
      <c r="DC97" s="197"/>
      <c r="DD97" s="197"/>
      <c r="DE97" s="197"/>
      <c r="DF97" s="197"/>
      <c r="DG97" s="197"/>
      <c r="DH97" s="197"/>
      <c r="DI97" s="197"/>
      <c r="DJ97" s="197"/>
      <c r="DK97" s="197"/>
      <c r="DL97" s="197"/>
      <c r="DM97" s="197"/>
      <c r="DN97" s="197"/>
      <c r="DO97" s="197"/>
      <c r="DP97" s="197"/>
      <c r="DQ97" s="197"/>
      <c r="DR97" s="197"/>
      <c r="DS97" s="197"/>
      <c r="DT97" s="197"/>
      <c r="DU97" s="197"/>
      <c r="DV97" s="197"/>
      <c r="DW97" s="197"/>
      <c r="DX97" s="197"/>
      <c r="EB97" s="335"/>
      <c r="EH97" s="335"/>
      <c r="GP97" s="335"/>
    </row>
    <row r="98" spans="2:198" x14ac:dyDescent="0.25">
      <c r="H98" s="144"/>
      <c r="I98" s="145"/>
      <c r="J98" s="145"/>
      <c r="K98" s="145"/>
      <c r="L98" s="152"/>
      <c r="M98" s="144"/>
      <c r="N98" s="145"/>
      <c r="O98" s="145"/>
      <c r="P98" s="145"/>
      <c r="Q98" s="152"/>
      <c r="R98" s="335"/>
      <c r="S98" t="str">
        <f>S97</f>
        <v>Peak pedestrian flow along or across facility</v>
      </c>
      <c r="T98" t="s">
        <v>103</v>
      </c>
      <c r="U98">
        <v>2</v>
      </c>
      <c r="V98">
        <f>'CycleRAP Model'!O49</f>
        <v>3</v>
      </c>
      <c r="W98" s="158" t="b">
        <f t="shared" si="58"/>
        <v>0</v>
      </c>
      <c r="X98" s="163"/>
      <c r="Y98" s="163"/>
      <c r="Z98" s="163"/>
      <c r="AA98" s="181"/>
      <c r="AB98" s="163"/>
      <c r="AC98" s="163"/>
      <c r="AD98" s="163"/>
      <c r="AE98" s="181"/>
      <c r="AF98" s="206"/>
      <c r="AG98" s="195"/>
      <c r="AH98" s="195"/>
      <c r="AI98" s="206"/>
      <c r="AJ98" s="195"/>
      <c r="AK98" s="195"/>
      <c r="AL98" s="195"/>
      <c r="AM98" s="217"/>
      <c r="AN98" s="217"/>
      <c r="AO98" s="201" t="b">
        <v>1</v>
      </c>
      <c r="AP98" s="195"/>
      <c r="AQ98" s="195"/>
      <c r="AR98" s="195"/>
      <c r="AS98" s="195"/>
      <c r="AT98" s="195"/>
      <c r="AU98" s="195"/>
      <c r="AV98" s="206"/>
      <c r="AW98" s="195"/>
      <c r="AX98" s="195"/>
      <c r="AY98" s="195"/>
      <c r="AZ98" s="195"/>
      <c r="BA98" s="195"/>
      <c r="BB98" s="195"/>
      <c r="BC98" s="195"/>
      <c r="BD98" s="195"/>
      <c r="BE98" s="195"/>
      <c r="BF98" s="195"/>
      <c r="BG98" s="195"/>
      <c r="BH98" s="195"/>
      <c r="BI98" s="195"/>
      <c r="BJ98" s="195"/>
      <c r="BK98" s="195"/>
      <c r="BL98" s="195"/>
      <c r="BM98" s="195"/>
      <c r="BN98" s="195"/>
      <c r="BO98" s="195"/>
      <c r="BP98" s="195"/>
      <c r="BQ98" s="195"/>
      <c r="BR98" s="195"/>
      <c r="BS98" s="195"/>
      <c r="BT98" s="195"/>
      <c r="BU98" s="195"/>
      <c r="BV98" s="195"/>
      <c r="BW98" s="195"/>
      <c r="BX98" s="195"/>
      <c r="BY98" s="195"/>
      <c r="BZ98" s="195"/>
      <c r="CA98" s="195"/>
      <c r="CB98" s="195"/>
      <c r="CC98" s="195"/>
      <c r="CD98" s="195"/>
      <c r="CE98" s="195"/>
      <c r="CF98" s="195"/>
      <c r="CG98" s="195"/>
      <c r="CH98" s="195"/>
      <c r="CI98" s="195"/>
      <c r="CJ98" s="195"/>
      <c r="CK98" s="195"/>
      <c r="CL98" s="195"/>
      <c r="CM98" s="195"/>
      <c r="CN98" s="195"/>
      <c r="CO98" s="195"/>
      <c r="CP98" s="195"/>
      <c r="CQ98" s="195"/>
      <c r="CR98" s="195"/>
      <c r="CS98" s="195"/>
      <c r="CT98" s="195"/>
      <c r="CU98" s="195"/>
      <c r="CV98" s="195"/>
      <c r="CW98" s="195"/>
      <c r="CX98" s="195"/>
      <c r="CY98" s="195"/>
      <c r="CZ98" s="195"/>
      <c r="DA98" s="195"/>
      <c r="DB98" s="195"/>
      <c r="DC98" s="195"/>
      <c r="DD98" s="195"/>
      <c r="DE98" s="195"/>
      <c r="DF98" s="195"/>
      <c r="DG98" s="195"/>
      <c r="DH98" s="195"/>
      <c r="DI98" s="195"/>
      <c r="DJ98" s="195"/>
      <c r="DK98" s="195"/>
      <c r="DL98" s="195"/>
      <c r="DM98" s="195"/>
      <c r="DN98" s="195"/>
      <c r="DO98" s="195"/>
      <c r="DP98" s="195"/>
      <c r="DQ98" s="195"/>
      <c r="DR98" s="201" t="b">
        <v>1</v>
      </c>
      <c r="DS98" s="195"/>
      <c r="DT98" s="195"/>
      <c r="DU98" s="195"/>
      <c r="DV98" s="201" t="b">
        <v>1</v>
      </c>
      <c r="DW98" s="201" t="b">
        <v>1</v>
      </c>
      <c r="DX98" s="195"/>
      <c r="EB98" s="335"/>
      <c r="EH98" s="335"/>
      <c r="GP98" s="335"/>
    </row>
    <row r="99" spans="2:198" x14ac:dyDescent="0.25">
      <c r="B99" s="139"/>
      <c r="C99" s="140"/>
      <c r="D99" s="140"/>
      <c r="E99" s="144"/>
      <c r="F99" s="144"/>
      <c r="G99" s="144"/>
      <c r="H99" s="144"/>
      <c r="I99" s="145"/>
      <c r="J99" s="145"/>
      <c r="K99" s="145"/>
      <c r="L99" s="152"/>
      <c r="M99" s="144"/>
      <c r="N99" s="145"/>
      <c r="O99" s="145"/>
      <c r="P99" s="145"/>
      <c r="Q99" s="152"/>
      <c r="R99" s="335"/>
      <c r="S99" t="str">
        <f>S98</f>
        <v>Peak pedestrian flow along or across facility</v>
      </c>
      <c r="T99" t="s">
        <v>46</v>
      </c>
      <c r="U99">
        <v>3</v>
      </c>
      <c r="V99">
        <f>'CycleRAP Model'!O49</f>
        <v>3</v>
      </c>
      <c r="W99" s="158" t="b">
        <f t="shared" si="58"/>
        <v>1</v>
      </c>
      <c r="X99" s="174"/>
      <c r="Y99" s="173"/>
      <c r="Z99" s="175" t="b">
        <v>1</v>
      </c>
      <c r="AA99" s="188"/>
      <c r="AB99" s="174"/>
      <c r="AC99" s="173"/>
      <c r="AD99" s="175" t="b">
        <v>1</v>
      </c>
      <c r="AE99" s="188"/>
      <c r="AF99" s="209"/>
      <c r="AG99" s="198"/>
      <c r="AH99" s="198"/>
      <c r="AI99" s="209"/>
      <c r="AJ99" s="198"/>
      <c r="AK99" s="198"/>
      <c r="AL99" s="198"/>
      <c r="AM99" s="198"/>
      <c r="AN99" s="198"/>
      <c r="AO99" s="198"/>
      <c r="AP99" s="198"/>
      <c r="AQ99" s="198"/>
      <c r="AR99" s="198"/>
      <c r="AS99" s="198"/>
      <c r="AT99" s="198"/>
      <c r="AU99" s="198"/>
      <c r="AV99" s="209"/>
      <c r="AW99" s="198"/>
      <c r="AX99" s="198"/>
      <c r="AY99" s="198"/>
      <c r="AZ99" s="198"/>
      <c r="BA99" s="198"/>
      <c r="BB99" s="198"/>
      <c r="BC99" s="198"/>
      <c r="BD99" s="198"/>
      <c r="BE99" s="198"/>
      <c r="BF99" s="198"/>
      <c r="BG99" s="198"/>
      <c r="BH99" s="198"/>
      <c r="BI99" s="198"/>
      <c r="BJ99" s="198"/>
      <c r="BK99" s="198"/>
      <c r="BL99" s="198"/>
      <c r="BM99" s="198"/>
      <c r="BN99" s="198"/>
      <c r="BO99" s="198"/>
      <c r="BP99" s="198"/>
      <c r="BQ99" s="198"/>
      <c r="BR99" s="198"/>
      <c r="BS99" s="198"/>
      <c r="BT99" s="198"/>
      <c r="BU99" s="198"/>
      <c r="BV99" s="198"/>
      <c r="BW99" s="198"/>
      <c r="BX99" s="198"/>
      <c r="BY99" s="198"/>
      <c r="BZ99" s="198"/>
      <c r="CA99" s="198"/>
      <c r="CB99" s="198"/>
      <c r="CC99" s="198"/>
      <c r="CD99" s="198"/>
      <c r="CE99" s="198"/>
      <c r="CF99" s="198"/>
      <c r="CG99" s="200" t="b">
        <v>1</v>
      </c>
      <c r="CH99" s="198"/>
      <c r="CI99" s="198"/>
      <c r="CJ99" s="198"/>
      <c r="CK99" s="198"/>
      <c r="CL99" s="198"/>
      <c r="CM99" s="198"/>
      <c r="CN99" s="198"/>
      <c r="CO99" s="198"/>
      <c r="CP99" s="198"/>
      <c r="CQ99" s="198"/>
      <c r="CR99" s="198"/>
      <c r="CS99" s="198"/>
      <c r="CT99" s="198"/>
      <c r="CU99" s="198"/>
      <c r="CV99" s="198"/>
      <c r="CW99" s="198"/>
      <c r="CX99" s="198"/>
      <c r="CY99" s="198"/>
      <c r="CZ99" s="198"/>
      <c r="DA99" s="198"/>
      <c r="DB99" s="198"/>
      <c r="DC99" s="198"/>
      <c r="DD99" s="198"/>
      <c r="DE99" s="198"/>
      <c r="DF99" s="198"/>
      <c r="DG99" s="198"/>
      <c r="DH99" s="198"/>
      <c r="DI99" s="198"/>
      <c r="DJ99" s="198"/>
      <c r="DK99" s="198"/>
      <c r="DL99" s="198"/>
      <c r="DM99" s="198"/>
      <c r="DN99" s="198"/>
      <c r="DO99" s="198"/>
      <c r="DP99" s="198"/>
      <c r="DQ99" s="198"/>
      <c r="DR99" s="200" t="b">
        <v>1</v>
      </c>
      <c r="DS99" s="198"/>
      <c r="DT99" s="198"/>
      <c r="DU99" s="198"/>
      <c r="DV99" s="200" t="b">
        <v>1</v>
      </c>
      <c r="DW99" s="200" t="b">
        <v>1</v>
      </c>
      <c r="DX99" s="198"/>
      <c r="EB99" s="335"/>
      <c r="EH99" s="335"/>
      <c r="GP99" s="335"/>
    </row>
    <row r="100" spans="2:198" x14ac:dyDescent="0.25">
      <c r="B100" s="139"/>
      <c r="C100" s="140"/>
      <c r="D100" s="140"/>
      <c r="E100" s="144"/>
      <c r="F100" s="144"/>
      <c r="G100" s="144"/>
      <c r="H100" s="144"/>
      <c r="I100" s="145"/>
      <c r="J100" s="145"/>
      <c r="K100" s="145"/>
      <c r="L100" s="152"/>
      <c r="M100" s="144"/>
      <c r="N100" s="145"/>
      <c r="O100" s="145"/>
      <c r="P100" s="145"/>
      <c r="Q100" s="152"/>
      <c r="R100" s="335"/>
      <c r="S100" s="4" t="s">
        <v>48</v>
      </c>
      <c r="T100" s="4" t="s">
        <v>103</v>
      </c>
      <c r="U100" s="157">
        <v>1</v>
      </c>
      <c r="V100" s="157">
        <f>'CycleRAP Model'!O50</f>
        <v>2</v>
      </c>
      <c r="W100" s="162" t="b">
        <f t="shared" si="58"/>
        <v>0</v>
      </c>
      <c r="X100" s="170"/>
      <c r="Y100" s="171"/>
      <c r="Z100" s="171"/>
      <c r="AA100" s="185"/>
      <c r="AB100" s="170"/>
      <c r="AC100" s="171"/>
      <c r="AD100" s="171"/>
      <c r="AE100" s="185"/>
      <c r="AF100" s="208"/>
      <c r="AG100" s="197"/>
      <c r="AH100" s="197"/>
      <c r="AI100" s="208"/>
      <c r="AJ100" s="197"/>
      <c r="AK100" s="197"/>
      <c r="AL100" s="197"/>
      <c r="AM100" s="197"/>
      <c r="AN100" s="197"/>
      <c r="AO100" s="202" t="b">
        <v>1</v>
      </c>
      <c r="AP100" s="197"/>
      <c r="AQ100" s="197"/>
      <c r="AR100" s="197"/>
      <c r="AS100" s="197"/>
      <c r="AT100" s="197"/>
      <c r="AU100" s="197"/>
      <c r="AV100" s="208"/>
      <c r="AW100" s="197"/>
      <c r="AX100" s="197"/>
      <c r="AY100" s="197"/>
      <c r="AZ100" s="197"/>
      <c r="BA100" s="197"/>
      <c r="BB100" s="197"/>
      <c r="BC100" s="197"/>
      <c r="BD100" s="197"/>
      <c r="BE100" s="197"/>
      <c r="BF100" s="197"/>
      <c r="BG100" s="197"/>
      <c r="BH100" s="197"/>
      <c r="BI100" s="197"/>
      <c r="BJ100" s="197"/>
      <c r="BK100" s="197"/>
      <c r="BL100" s="197"/>
      <c r="BM100" s="197"/>
      <c r="BN100" s="197"/>
      <c r="BO100" s="197"/>
      <c r="BP100" s="197"/>
      <c r="BQ100" s="197"/>
      <c r="BR100" s="197"/>
      <c r="BS100" s="197"/>
      <c r="BT100" s="197"/>
      <c r="BU100" s="197"/>
      <c r="BV100" s="197"/>
      <c r="BW100" s="197"/>
      <c r="BX100" s="197"/>
      <c r="BY100" s="197"/>
      <c r="BZ100" s="197"/>
      <c r="CA100" s="197"/>
      <c r="CB100" s="197"/>
      <c r="CC100" s="197"/>
      <c r="CD100" s="197"/>
      <c r="CE100" s="197"/>
      <c r="CF100" s="197"/>
      <c r="CG100" s="197"/>
      <c r="CH100" s="197"/>
      <c r="CI100" s="197"/>
      <c r="CJ100" s="197"/>
      <c r="CK100" s="197"/>
      <c r="CL100" s="197"/>
      <c r="CM100" s="197"/>
      <c r="CN100" s="197"/>
      <c r="CO100" s="197"/>
      <c r="CP100" s="197"/>
      <c r="CQ100" s="202" t="b">
        <v>1</v>
      </c>
      <c r="CR100" s="197"/>
      <c r="CS100" s="197"/>
      <c r="CT100" s="197"/>
      <c r="CU100" s="197"/>
      <c r="CV100" s="197"/>
      <c r="CW100" s="197"/>
      <c r="CX100" s="197"/>
      <c r="CY100" s="197"/>
      <c r="CZ100" s="197"/>
      <c r="DA100" s="197"/>
      <c r="DB100" s="197"/>
      <c r="DC100" s="197"/>
      <c r="DD100" s="197"/>
      <c r="DE100" s="197"/>
      <c r="DF100" s="197"/>
      <c r="DG100" s="197"/>
      <c r="DH100" s="197"/>
      <c r="DI100" s="197"/>
      <c r="DJ100" s="197"/>
      <c r="DK100" s="197"/>
      <c r="DL100" s="197"/>
      <c r="DM100" s="197"/>
      <c r="DN100" s="197"/>
      <c r="DO100" s="197"/>
      <c r="DP100" s="197"/>
      <c r="DQ100" s="197"/>
      <c r="DR100" s="197"/>
      <c r="DS100" s="197"/>
      <c r="DT100" s="197"/>
      <c r="DU100" s="197"/>
      <c r="DV100" s="197"/>
      <c r="DW100" s="197"/>
      <c r="DX100" s="197"/>
      <c r="EB100" s="335"/>
      <c r="EH100" s="335"/>
      <c r="GP100" s="335"/>
    </row>
    <row r="101" spans="2:198" x14ac:dyDescent="0.25">
      <c r="B101" s="139"/>
      <c r="C101" s="140"/>
      <c r="D101" s="140"/>
      <c r="E101" s="144"/>
      <c r="F101" s="144"/>
      <c r="G101" s="144"/>
      <c r="H101" s="144"/>
      <c r="I101" s="145"/>
      <c r="J101" s="145"/>
      <c r="K101" s="145"/>
      <c r="L101" s="152"/>
      <c r="M101" s="144"/>
      <c r="N101" s="145"/>
      <c r="O101" s="145"/>
      <c r="P101" s="145"/>
      <c r="Q101" s="152"/>
      <c r="R101" s="335"/>
      <c r="S101" t="str">
        <f>S100</f>
        <v>Peak bicycle/LV traffic flow</v>
      </c>
      <c r="T101" t="s">
        <v>46</v>
      </c>
      <c r="U101">
        <v>2</v>
      </c>
      <c r="V101">
        <f>'CycleRAP Model'!O50</f>
        <v>2</v>
      </c>
      <c r="W101" s="158" t="b">
        <f t="shared" si="58"/>
        <v>1</v>
      </c>
      <c r="X101" s="175" t="b">
        <v>1</v>
      </c>
      <c r="Y101" s="173"/>
      <c r="Z101" s="173"/>
      <c r="AA101" s="189" t="b">
        <v>1</v>
      </c>
      <c r="AB101" s="175" t="b">
        <v>1</v>
      </c>
      <c r="AC101" s="173"/>
      <c r="AD101" s="173"/>
      <c r="AE101" s="189" t="b">
        <v>1</v>
      </c>
      <c r="AF101" s="209"/>
      <c r="AG101" s="198"/>
      <c r="AH101" s="198"/>
      <c r="AI101" s="209"/>
      <c r="AJ101" s="198"/>
      <c r="AK101" s="198"/>
      <c r="AL101" s="198"/>
      <c r="AM101" s="198"/>
      <c r="AN101" s="198"/>
      <c r="AO101" s="198"/>
      <c r="AP101" s="198"/>
      <c r="AQ101" s="200" t="b">
        <v>1</v>
      </c>
      <c r="AR101" s="198"/>
      <c r="AS101" s="198"/>
      <c r="AT101" s="200" t="b">
        <v>1</v>
      </c>
      <c r="AU101" s="198"/>
      <c r="AV101" s="219" t="b">
        <v>1</v>
      </c>
      <c r="AW101" s="198"/>
      <c r="AX101" s="198"/>
      <c r="AY101" s="198"/>
      <c r="AZ101" s="198"/>
      <c r="BA101" s="198"/>
      <c r="BB101" s="198"/>
      <c r="BC101" s="198"/>
      <c r="BD101" s="198"/>
      <c r="BE101" s="198"/>
      <c r="BF101" s="198"/>
      <c r="BG101" s="198"/>
      <c r="BH101" s="198"/>
      <c r="BI101" s="198"/>
      <c r="BJ101" s="198"/>
      <c r="BK101" s="200" t="b">
        <v>1</v>
      </c>
      <c r="BL101" s="198"/>
      <c r="BM101" s="198"/>
      <c r="BN101" s="198"/>
      <c r="BO101" s="200" t="b">
        <v>1</v>
      </c>
      <c r="BP101" s="198"/>
      <c r="BQ101" s="198"/>
      <c r="BR101" s="200" t="b">
        <v>1</v>
      </c>
      <c r="BS101" s="198"/>
      <c r="BT101" s="198"/>
      <c r="BU101" s="200" t="b">
        <v>1</v>
      </c>
      <c r="BV101" s="198"/>
      <c r="BW101" s="198"/>
      <c r="BX101" s="198"/>
      <c r="BY101" s="198"/>
      <c r="BZ101" s="198"/>
      <c r="CA101" s="198"/>
      <c r="CB101" s="198"/>
      <c r="CC101" s="198"/>
      <c r="CD101" s="200" t="b">
        <v>1</v>
      </c>
      <c r="CE101" s="200" t="b">
        <v>1</v>
      </c>
      <c r="CF101" s="200" t="b">
        <v>1</v>
      </c>
      <c r="CG101" s="198"/>
      <c r="CH101" s="198"/>
      <c r="CI101" s="198"/>
      <c r="CJ101" s="198"/>
      <c r="CK101" s="198"/>
      <c r="CL101" s="198"/>
      <c r="CM101" s="198"/>
      <c r="CN101" s="198"/>
      <c r="CO101" s="198"/>
      <c r="CP101" s="198"/>
      <c r="CQ101" s="200"/>
      <c r="CR101" s="200" t="b">
        <v>1</v>
      </c>
      <c r="CS101" s="198"/>
      <c r="CT101" s="198"/>
      <c r="CU101" s="198"/>
      <c r="CV101" s="198"/>
      <c r="CW101" s="198"/>
      <c r="CX101" s="198"/>
      <c r="CY101" s="198"/>
      <c r="CZ101" s="198"/>
      <c r="DA101" s="198"/>
      <c r="DB101" s="198"/>
      <c r="DC101" s="198"/>
      <c r="DD101" s="198"/>
      <c r="DE101" s="198"/>
      <c r="DF101" s="200" t="b">
        <v>1</v>
      </c>
      <c r="DG101" s="198"/>
      <c r="DH101" s="198"/>
      <c r="DI101" s="198"/>
      <c r="DJ101" s="198"/>
      <c r="DK101" s="198"/>
      <c r="DL101" s="200" t="b">
        <v>1</v>
      </c>
      <c r="DM101" s="198"/>
      <c r="DN101" s="198"/>
      <c r="DO101" s="198"/>
      <c r="DP101" s="200" t="b">
        <v>1</v>
      </c>
      <c r="DQ101" s="198"/>
      <c r="DR101" s="198"/>
      <c r="DS101" s="200" t="b">
        <v>1</v>
      </c>
      <c r="DT101" s="198"/>
      <c r="DU101" s="200" t="b">
        <v>1</v>
      </c>
      <c r="DV101" s="198"/>
      <c r="DW101" s="198"/>
      <c r="DX101" s="198"/>
      <c r="EB101" s="335"/>
      <c r="EH101" s="335"/>
      <c r="GP101" s="335"/>
    </row>
    <row r="102" spans="2:198" ht="24" x14ac:dyDescent="0.25">
      <c r="B102" s="139"/>
      <c r="C102" s="140"/>
      <c r="D102" s="140"/>
      <c r="E102" s="144"/>
      <c r="F102" s="144"/>
      <c r="G102" s="144"/>
      <c r="H102" s="144"/>
      <c r="I102" s="145"/>
      <c r="J102" s="145"/>
      <c r="K102" s="145"/>
      <c r="L102" s="152"/>
      <c r="M102" s="144"/>
      <c r="N102" s="145"/>
      <c r="O102" s="145"/>
      <c r="P102" s="145"/>
      <c r="Q102" s="152"/>
      <c r="R102" s="335"/>
      <c r="S102" s="4" t="s">
        <v>50</v>
      </c>
      <c r="T102" s="4" t="s">
        <v>103</v>
      </c>
      <c r="U102" s="157">
        <v>1</v>
      </c>
      <c r="V102" s="157">
        <f>'CycleRAP Model'!O51</f>
        <v>2</v>
      </c>
      <c r="W102" s="162" t="b">
        <f t="shared" si="58"/>
        <v>0</v>
      </c>
      <c r="X102" s="166"/>
      <c r="Y102" s="163"/>
      <c r="Z102" s="163"/>
      <c r="AA102" s="181"/>
      <c r="AB102" s="166"/>
      <c r="AC102" s="163"/>
      <c r="AD102" s="163"/>
      <c r="AE102" s="181"/>
      <c r="AF102" s="206"/>
      <c r="AG102" s="195"/>
      <c r="AH102" s="195"/>
      <c r="AI102" s="206"/>
      <c r="AJ102" s="195"/>
      <c r="AK102" s="195"/>
      <c r="AL102" s="195"/>
      <c r="AM102" s="195"/>
      <c r="AN102" s="195"/>
      <c r="AO102" s="201" t="b">
        <v>1</v>
      </c>
      <c r="AP102" s="195"/>
      <c r="AQ102" s="195"/>
      <c r="AR102" s="195"/>
      <c r="AS102" s="195"/>
      <c r="AT102" s="195"/>
      <c r="AU102" s="195"/>
      <c r="AV102" s="206"/>
      <c r="AW102" s="195"/>
      <c r="AX102" s="195"/>
      <c r="AY102" s="195"/>
      <c r="AZ102" s="195"/>
      <c r="BA102" s="195"/>
      <c r="BB102" s="195"/>
      <c r="BC102" s="195"/>
      <c r="BD102" s="195"/>
      <c r="BE102" s="195"/>
      <c r="BF102" s="195"/>
      <c r="BG102" s="195"/>
      <c r="BH102" s="195"/>
      <c r="BI102" s="195"/>
      <c r="BJ102" s="195"/>
      <c r="BK102" s="195"/>
      <c r="BL102" s="195"/>
      <c r="BM102" s="195"/>
      <c r="BN102" s="195"/>
      <c r="BO102" s="195"/>
      <c r="BP102" s="195"/>
      <c r="BQ102" s="195"/>
      <c r="BR102" s="195"/>
      <c r="BS102" s="195"/>
      <c r="BT102" s="195"/>
      <c r="BU102" s="195"/>
      <c r="BV102" s="195"/>
      <c r="BW102" s="195"/>
      <c r="BX102" s="195"/>
      <c r="BY102" s="195"/>
      <c r="BZ102" s="195"/>
      <c r="CA102" s="195"/>
      <c r="CB102" s="195"/>
      <c r="CC102" s="195"/>
      <c r="CD102" s="195"/>
      <c r="CE102" s="195"/>
      <c r="CF102" s="195"/>
      <c r="CG102" s="195"/>
      <c r="CH102" s="195"/>
      <c r="CI102" s="195"/>
      <c r="CJ102" s="195"/>
      <c r="CK102" s="195"/>
      <c r="CL102" s="195"/>
      <c r="CM102" s="195"/>
      <c r="CN102" s="195"/>
      <c r="CO102" s="195"/>
      <c r="CP102" s="195"/>
      <c r="CQ102" s="195"/>
      <c r="CR102" s="195"/>
      <c r="CS102" s="195"/>
      <c r="CT102" s="195"/>
      <c r="CU102" s="195"/>
      <c r="CV102" s="195"/>
      <c r="CW102" s="195"/>
      <c r="CX102" s="195"/>
      <c r="CY102" s="195"/>
      <c r="CZ102" s="195"/>
      <c r="DA102" s="195"/>
      <c r="DB102" s="195"/>
      <c r="DC102" s="195"/>
      <c r="DD102" s="195"/>
      <c r="DE102" s="195"/>
      <c r="DF102" s="195"/>
      <c r="DG102" s="195"/>
      <c r="DH102" s="195"/>
      <c r="DI102" s="195"/>
      <c r="DJ102" s="195"/>
      <c r="DK102" s="195"/>
      <c r="DL102" s="195"/>
      <c r="DM102" s="195"/>
      <c r="DN102" s="195"/>
      <c r="DO102" s="195"/>
      <c r="DP102" s="195"/>
      <c r="DQ102" s="195"/>
      <c r="DR102" s="195"/>
      <c r="DS102" s="195"/>
      <c r="DT102" s="195"/>
      <c r="DU102" s="195"/>
      <c r="DV102" s="195"/>
      <c r="DW102" s="195"/>
      <c r="DX102" s="195"/>
      <c r="EB102" s="335"/>
      <c r="EH102" s="335"/>
      <c r="GP102" s="335"/>
    </row>
    <row r="103" spans="2:198" x14ac:dyDescent="0.25">
      <c r="B103" s="139"/>
      <c r="C103" s="140"/>
      <c r="D103" s="140"/>
      <c r="E103" s="144"/>
      <c r="F103" s="144"/>
      <c r="G103" s="144"/>
      <c r="H103" s="144"/>
      <c r="I103" s="145"/>
      <c r="J103" s="145"/>
      <c r="K103" s="145"/>
      <c r="L103" s="152"/>
      <c r="M103" s="144"/>
      <c r="N103" s="145"/>
      <c r="O103" s="145"/>
      <c r="P103" s="145"/>
      <c r="Q103" s="152"/>
      <c r="R103" s="335"/>
      <c r="S103" t="str">
        <f>S102</f>
        <v>Observed proportion of cargo bikes and mopeds</v>
      </c>
      <c r="T103" t="s">
        <v>46</v>
      </c>
      <c r="U103">
        <v>2</v>
      </c>
      <c r="V103">
        <f>'CycleRAP Model'!O51</f>
        <v>2</v>
      </c>
      <c r="W103" s="158" t="b">
        <f t="shared" si="58"/>
        <v>1</v>
      </c>
      <c r="X103" s="163"/>
      <c r="Y103" s="166"/>
      <c r="Z103" s="166"/>
      <c r="AA103" s="184"/>
      <c r="AB103" s="163"/>
      <c r="AC103" s="166"/>
      <c r="AD103" s="166"/>
      <c r="AE103" s="184"/>
      <c r="AF103" s="206"/>
      <c r="AG103" s="195"/>
      <c r="AH103" s="195"/>
      <c r="AI103" s="206"/>
      <c r="AJ103" s="195"/>
      <c r="AK103" s="195"/>
      <c r="AL103" s="195"/>
      <c r="AM103" s="195"/>
      <c r="AN103" s="195"/>
      <c r="AO103" s="195"/>
      <c r="AP103" s="195"/>
      <c r="AQ103" s="195"/>
      <c r="AR103" s="201" t="b">
        <v>1</v>
      </c>
      <c r="AS103" s="195"/>
      <c r="AT103" s="195"/>
      <c r="AU103" s="201" t="b">
        <v>1</v>
      </c>
      <c r="AV103" s="206"/>
      <c r="AW103" s="201" t="b">
        <v>1</v>
      </c>
      <c r="AX103" s="195"/>
      <c r="AY103" s="195"/>
      <c r="AZ103" s="195"/>
      <c r="BA103" s="195"/>
      <c r="BB103" s="195"/>
      <c r="BC103" s="195"/>
      <c r="BD103" s="195"/>
      <c r="BE103" s="195"/>
      <c r="BF103" s="195"/>
      <c r="BG103" s="195"/>
      <c r="BH103" s="195"/>
      <c r="BI103" s="195"/>
      <c r="BJ103" s="195"/>
      <c r="BK103" s="195"/>
      <c r="BL103" s="195"/>
      <c r="BM103" s="195"/>
      <c r="BN103" s="195"/>
      <c r="BO103" s="195"/>
      <c r="BP103" s="201" t="b">
        <v>1</v>
      </c>
      <c r="BQ103" s="195"/>
      <c r="BR103" s="195"/>
      <c r="BS103" s="201" t="b">
        <v>1</v>
      </c>
      <c r="BT103" s="195"/>
      <c r="BU103" s="195"/>
      <c r="BV103" s="201" t="b">
        <v>1</v>
      </c>
      <c r="BW103" s="195"/>
      <c r="BX103" s="195"/>
      <c r="BY103" s="195"/>
      <c r="BZ103" s="195"/>
      <c r="CA103" s="195"/>
      <c r="CB103" s="195"/>
      <c r="CC103" s="195"/>
      <c r="CD103" s="195"/>
      <c r="CE103" s="195"/>
      <c r="CF103" s="201" t="b">
        <v>1</v>
      </c>
      <c r="CG103" s="195"/>
      <c r="CH103" s="195"/>
      <c r="CI103" s="195"/>
      <c r="CJ103" s="195"/>
      <c r="CK103" s="195"/>
      <c r="CL103" s="195"/>
      <c r="CM103" s="195"/>
      <c r="CN103" s="195"/>
      <c r="CO103" s="195"/>
      <c r="CP103" s="195"/>
      <c r="CQ103" s="195"/>
      <c r="CR103" s="195"/>
      <c r="CS103" s="195"/>
      <c r="CT103" s="195"/>
      <c r="CU103" s="195"/>
      <c r="CV103" s="195"/>
      <c r="CW103" s="195"/>
      <c r="CX103" s="195"/>
      <c r="CY103" s="195"/>
      <c r="CZ103" s="195"/>
      <c r="DA103" s="195"/>
      <c r="DB103" s="195"/>
      <c r="DC103" s="195"/>
      <c r="DD103" s="195"/>
      <c r="DE103" s="195"/>
      <c r="DF103" s="195"/>
      <c r="DG103" s="195"/>
      <c r="DH103" s="195"/>
      <c r="DI103" s="195"/>
      <c r="DJ103" s="195"/>
      <c r="DK103" s="195"/>
      <c r="DL103" s="195"/>
      <c r="DM103" s="195"/>
      <c r="DN103" s="195"/>
      <c r="DO103" s="195"/>
      <c r="DP103" s="195"/>
      <c r="DQ103" s="195"/>
      <c r="DR103" s="195"/>
      <c r="DS103" s="195"/>
      <c r="DT103" s="195"/>
      <c r="DU103" s="200" t="b">
        <v>1</v>
      </c>
      <c r="DV103" s="195"/>
      <c r="DW103" s="195"/>
      <c r="DX103" s="195"/>
      <c r="EB103" s="335"/>
      <c r="EH103" s="335"/>
      <c r="GP103" s="335"/>
    </row>
    <row r="104" spans="2:198" x14ac:dyDescent="0.25">
      <c r="B104" s="139"/>
      <c r="C104" s="140"/>
      <c r="D104" s="140"/>
      <c r="E104" s="144"/>
      <c r="F104" s="144"/>
      <c r="G104" s="144"/>
      <c r="H104" s="144"/>
      <c r="I104" s="145"/>
      <c r="J104" s="145"/>
      <c r="K104" s="145"/>
      <c r="L104" s="152"/>
      <c r="M104" s="144"/>
      <c r="N104" s="145"/>
      <c r="O104" s="145"/>
      <c r="P104" s="145"/>
      <c r="Q104" s="152"/>
      <c r="R104" s="335"/>
      <c r="S104" s="4" t="s">
        <v>52</v>
      </c>
      <c r="T104" s="4" t="s">
        <v>232</v>
      </c>
      <c r="U104" s="157">
        <v>1</v>
      </c>
      <c r="V104" s="157">
        <f>'CycleRAP Model'!O52</f>
        <v>1</v>
      </c>
      <c r="W104" s="162" t="b">
        <f t="shared" si="58"/>
        <v>1</v>
      </c>
      <c r="X104" s="170"/>
      <c r="Y104" s="171"/>
      <c r="Z104" s="171"/>
      <c r="AA104" s="185"/>
      <c r="AB104" s="170"/>
      <c r="AC104" s="171"/>
      <c r="AD104" s="171"/>
      <c r="AE104" s="185"/>
      <c r="AF104" s="208"/>
      <c r="AG104" s="197"/>
      <c r="AH104" s="197"/>
      <c r="AI104" s="208"/>
      <c r="AJ104" s="197"/>
      <c r="AK104" s="197"/>
      <c r="AL104" s="197"/>
      <c r="AM104" s="197"/>
      <c r="AN104" s="197"/>
      <c r="AO104" s="202" t="b">
        <v>1</v>
      </c>
      <c r="AP104" s="197"/>
      <c r="AQ104" s="197"/>
      <c r="AR104" s="197"/>
      <c r="AS104" s="197"/>
      <c r="AT104" s="197"/>
      <c r="AU104" s="197"/>
      <c r="AV104" s="208"/>
      <c r="AW104" s="197"/>
      <c r="AX104" s="197"/>
      <c r="AY104" s="197"/>
      <c r="AZ104" s="197"/>
      <c r="BA104" s="197"/>
      <c r="BB104" s="197"/>
      <c r="BC104" s="197"/>
      <c r="BD104" s="197"/>
      <c r="BE104" s="197"/>
      <c r="BF104" s="197"/>
      <c r="BG104" s="197"/>
      <c r="BH104" s="197"/>
      <c r="BI104" s="197"/>
      <c r="BJ104" s="197"/>
      <c r="BK104" s="197"/>
      <c r="BL104" s="197"/>
      <c r="BM104" s="197"/>
      <c r="BN104" s="197"/>
      <c r="BO104" s="197"/>
      <c r="BP104" s="197"/>
      <c r="BQ104" s="197"/>
      <c r="BR104" s="197"/>
      <c r="BS104" s="197"/>
      <c r="BT104" s="197"/>
      <c r="BU104" s="197"/>
      <c r="BV104" s="197"/>
      <c r="BW104" s="197"/>
      <c r="BX104" s="197"/>
      <c r="BY104" s="197"/>
      <c r="BZ104" s="197"/>
      <c r="CA104" s="197"/>
      <c r="CB104" s="197"/>
      <c r="CC104" s="197"/>
      <c r="CD104" s="197"/>
      <c r="CE104" s="197"/>
      <c r="CF104" s="197"/>
      <c r="CG104" s="197"/>
      <c r="CH104" s="197"/>
      <c r="CI104" s="197"/>
      <c r="CJ104" s="197"/>
      <c r="CK104" s="197"/>
      <c r="CL104" s="197"/>
      <c r="CM104" s="197"/>
      <c r="CN104" s="197"/>
      <c r="CO104" s="197"/>
      <c r="CP104" s="197"/>
      <c r="CQ104" s="197"/>
      <c r="CR104" s="197"/>
      <c r="CS104" s="197"/>
      <c r="CT104" s="197"/>
      <c r="CU104" s="197"/>
      <c r="CV104" s="197"/>
      <c r="CW104" s="197"/>
      <c r="CX104" s="197"/>
      <c r="CY104" s="197"/>
      <c r="CZ104" s="197"/>
      <c r="DA104" s="197"/>
      <c r="DB104" s="197"/>
      <c r="DC104" s="197"/>
      <c r="DD104" s="197"/>
      <c r="DE104" s="197"/>
      <c r="DF104" s="197"/>
      <c r="DG104" s="197"/>
      <c r="DH104" s="197"/>
      <c r="DI104" s="197"/>
      <c r="DJ104" s="197"/>
      <c r="DK104" s="197"/>
      <c r="DL104" s="197"/>
      <c r="DM104" s="197"/>
      <c r="DN104" s="197"/>
      <c r="DO104" s="197"/>
      <c r="DP104" s="197"/>
      <c r="DQ104" s="197"/>
      <c r="DR104" s="197"/>
      <c r="DS104" s="197"/>
      <c r="DT104" s="197"/>
      <c r="DU104" s="197"/>
      <c r="DV104" s="197"/>
      <c r="DW104" s="197"/>
      <c r="DX104" s="197"/>
      <c r="DZ104" s="138"/>
      <c r="EA104" s="138"/>
      <c r="EB104" s="335"/>
      <c r="EH104" s="335"/>
      <c r="GP104" s="335"/>
    </row>
    <row r="105" spans="2:198" x14ac:dyDescent="0.25">
      <c r="B105" s="139"/>
      <c r="C105" s="140"/>
      <c r="D105" s="140"/>
      <c r="E105" s="144"/>
      <c r="F105" s="144"/>
      <c r="G105" s="144"/>
      <c r="H105" s="144"/>
      <c r="I105" s="145"/>
      <c r="J105" s="145"/>
      <c r="K105" s="145"/>
      <c r="L105" s="152"/>
      <c r="M105" s="144"/>
      <c r="N105" s="145"/>
      <c r="O105" s="145"/>
      <c r="P105" s="145"/>
      <c r="Q105" s="152"/>
      <c r="R105" s="335"/>
      <c r="S105" t="str">
        <f>S104</f>
        <v>Bicycle/LV speed – average</v>
      </c>
      <c r="T105" s="35" t="s">
        <v>53</v>
      </c>
      <c r="U105">
        <v>2</v>
      </c>
      <c r="V105">
        <f>'CycleRAP Model'!O52</f>
        <v>1</v>
      </c>
      <c r="W105" s="158" t="b">
        <f t="shared" si="58"/>
        <v>0</v>
      </c>
      <c r="X105" s="174"/>
      <c r="Y105" s="173"/>
      <c r="Z105" s="173"/>
      <c r="AA105" s="188"/>
      <c r="AB105" s="174"/>
      <c r="AC105" s="173"/>
      <c r="AD105" s="173"/>
      <c r="AE105" s="188"/>
      <c r="AF105" s="209"/>
      <c r="AG105" s="198"/>
      <c r="AH105" s="198"/>
      <c r="AI105" s="209"/>
      <c r="AJ105" s="198"/>
      <c r="AK105" s="198"/>
      <c r="AL105" s="198"/>
      <c r="AM105" s="198"/>
      <c r="AN105" s="198"/>
      <c r="AO105" s="198"/>
      <c r="AP105" s="198"/>
      <c r="AQ105" s="198"/>
      <c r="AR105" s="198"/>
      <c r="AS105" s="198"/>
      <c r="AT105" s="198"/>
      <c r="AU105" s="198"/>
      <c r="AV105" s="209"/>
      <c r="AW105" s="198"/>
      <c r="AX105" s="200" t="b">
        <v>1</v>
      </c>
      <c r="AY105" s="198"/>
      <c r="AZ105" s="198"/>
      <c r="BA105" s="198"/>
      <c r="BB105" s="198"/>
      <c r="BC105" s="198"/>
      <c r="BD105" s="198"/>
      <c r="BE105" s="198"/>
      <c r="BF105" s="198"/>
      <c r="BG105" s="198"/>
      <c r="BH105" s="198"/>
      <c r="BI105" s="198"/>
      <c r="BJ105" s="198"/>
      <c r="BK105" s="198"/>
      <c r="BL105" s="198"/>
      <c r="BM105" s="198"/>
      <c r="BN105" s="198"/>
      <c r="BO105" s="198"/>
      <c r="BP105" s="198"/>
      <c r="BQ105" s="198"/>
      <c r="BR105" s="198"/>
      <c r="BS105" s="198"/>
      <c r="BT105" s="198"/>
      <c r="BU105" s="198"/>
      <c r="BV105" s="198"/>
      <c r="BW105" s="198"/>
      <c r="BX105" s="200" t="b">
        <v>1</v>
      </c>
      <c r="BY105" s="198"/>
      <c r="BZ105" s="198"/>
      <c r="CA105" s="198"/>
      <c r="CB105" s="198"/>
      <c r="CC105" s="198"/>
      <c r="CD105" s="198"/>
      <c r="CE105" s="198"/>
      <c r="CF105" s="198"/>
      <c r="CG105" s="198"/>
      <c r="CH105" s="198"/>
      <c r="CI105" s="198"/>
      <c r="CJ105" s="198"/>
      <c r="CK105" s="198"/>
      <c r="CL105" s="200" t="b">
        <v>1</v>
      </c>
      <c r="CM105" s="198"/>
      <c r="CN105" s="198"/>
      <c r="CO105" s="198"/>
      <c r="CP105" s="198"/>
      <c r="CQ105" s="198"/>
      <c r="CR105" s="198"/>
      <c r="CS105" s="198"/>
      <c r="CT105" s="198"/>
      <c r="CU105" s="198"/>
      <c r="CV105" s="198"/>
      <c r="CW105" s="198"/>
      <c r="CX105" s="198"/>
      <c r="CY105" s="198"/>
      <c r="CZ105" s="198"/>
      <c r="DA105" s="198"/>
      <c r="DB105" s="198"/>
      <c r="DC105" s="198"/>
      <c r="DD105" s="198"/>
      <c r="DE105" s="198"/>
      <c r="DF105" s="200" t="b">
        <v>1</v>
      </c>
      <c r="DG105" s="198"/>
      <c r="DH105" s="198"/>
      <c r="DI105" s="198"/>
      <c r="DJ105" s="198"/>
      <c r="DK105" s="198"/>
      <c r="DL105" s="198"/>
      <c r="DM105" s="198"/>
      <c r="DN105" s="198"/>
      <c r="DO105" s="198"/>
      <c r="DP105" s="198"/>
      <c r="DQ105" s="198"/>
      <c r="DR105" s="200" t="b">
        <v>1</v>
      </c>
      <c r="DS105" s="200" t="b">
        <v>1</v>
      </c>
      <c r="DT105" s="200" t="b">
        <v>1</v>
      </c>
      <c r="DU105" s="200" t="b">
        <v>1</v>
      </c>
      <c r="DV105" s="200" t="b">
        <v>1</v>
      </c>
      <c r="DW105" s="200" t="b">
        <v>1</v>
      </c>
      <c r="DX105" s="200" t="b">
        <v>1</v>
      </c>
      <c r="EB105" s="335"/>
      <c r="EH105" s="335"/>
      <c r="GP105" s="335"/>
    </row>
    <row r="106" spans="2:198" x14ac:dyDescent="0.25">
      <c r="B106" s="139"/>
      <c r="C106" s="140"/>
      <c r="D106" s="140"/>
      <c r="E106" s="144"/>
      <c r="F106" s="144"/>
      <c r="G106" s="144"/>
      <c r="H106" s="144"/>
      <c r="I106" s="144"/>
      <c r="J106" s="146"/>
      <c r="K106" s="144"/>
      <c r="L106" s="153"/>
      <c r="M106" s="144"/>
      <c r="N106" s="144"/>
      <c r="O106" s="146"/>
      <c r="P106" s="144"/>
      <c r="Q106" s="153"/>
      <c r="R106" s="335"/>
      <c r="S106" s="4" t="s">
        <v>55</v>
      </c>
      <c r="T106" s="4" t="s">
        <v>234</v>
      </c>
      <c r="U106" s="157">
        <v>1</v>
      </c>
      <c r="V106" s="157">
        <f>'CycleRAP Model'!O53</f>
        <v>1</v>
      </c>
      <c r="W106" s="162" t="b">
        <f t="shared" si="58"/>
        <v>1</v>
      </c>
      <c r="X106" s="166"/>
      <c r="Y106" s="163"/>
      <c r="Z106" s="163"/>
      <c r="AA106" s="181"/>
      <c r="AB106" s="166"/>
      <c r="AC106" s="163"/>
      <c r="AD106" s="163"/>
      <c r="AE106" s="181"/>
      <c r="AF106" s="206"/>
      <c r="AG106" s="195"/>
      <c r="AH106" s="195"/>
      <c r="AI106" s="206"/>
      <c r="AJ106" s="195"/>
      <c r="AK106" s="195"/>
      <c r="AL106" s="195"/>
      <c r="AM106" s="195"/>
      <c r="AN106" s="195"/>
      <c r="AO106" s="195"/>
      <c r="AP106" s="195"/>
      <c r="AQ106" s="195"/>
      <c r="AR106" s="195"/>
      <c r="AS106" s="195"/>
      <c r="AT106" s="195"/>
      <c r="AU106" s="195"/>
      <c r="AV106" s="206"/>
      <c r="AW106" s="195"/>
      <c r="AX106" s="195"/>
      <c r="AY106" s="195"/>
      <c r="AZ106" s="195"/>
      <c r="BA106" s="195"/>
      <c r="BB106" s="195"/>
      <c r="BC106" s="195"/>
      <c r="BD106" s="195"/>
      <c r="BE106" s="195"/>
      <c r="BF106" s="195"/>
      <c r="BG106" s="195"/>
      <c r="BH106" s="195"/>
      <c r="BI106" s="195"/>
      <c r="BJ106" s="195"/>
      <c r="BK106" s="195"/>
      <c r="BL106" s="195"/>
      <c r="BM106" s="195"/>
      <c r="BN106" s="195"/>
      <c r="BO106" s="195"/>
      <c r="BP106" s="195"/>
      <c r="BQ106" s="195"/>
      <c r="BR106" s="195"/>
      <c r="BS106" s="195"/>
      <c r="BT106" s="195"/>
      <c r="BU106" s="195"/>
      <c r="BV106" s="195"/>
      <c r="BW106" s="195"/>
      <c r="BX106" s="195"/>
      <c r="BY106" s="195"/>
      <c r="BZ106" s="195"/>
      <c r="CA106" s="195"/>
      <c r="CB106" s="195"/>
      <c r="CC106" s="195"/>
      <c r="CD106" s="195"/>
      <c r="CE106" s="195"/>
      <c r="CF106" s="195"/>
      <c r="CG106" s="195"/>
      <c r="CH106" s="195"/>
      <c r="CI106" s="195"/>
      <c r="CJ106" s="195"/>
      <c r="CK106" s="195"/>
      <c r="CL106" s="195"/>
      <c r="CM106" s="195"/>
      <c r="CN106" s="195"/>
      <c r="CO106" s="195"/>
      <c r="CP106" s="195"/>
      <c r="CQ106" s="195"/>
      <c r="CR106" s="195"/>
      <c r="CS106" s="195"/>
      <c r="CT106" s="195"/>
      <c r="CU106" s="195"/>
      <c r="CV106" s="195"/>
      <c r="CW106" s="195"/>
      <c r="CX106" s="195"/>
      <c r="CY106" s="195"/>
      <c r="CZ106" s="195"/>
      <c r="DA106" s="195"/>
      <c r="DB106" s="195"/>
      <c r="DC106" s="195"/>
      <c r="DD106" s="195"/>
      <c r="DE106" s="195"/>
      <c r="DF106" s="195"/>
      <c r="DG106" s="195"/>
      <c r="DH106" s="195"/>
      <c r="DI106" s="195"/>
      <c r="DJ106" s="195"/>
      <c r="DK106" s="195"/>
      <c r="DL106" s="195"/>
      <c r="DM106" s="195"/>
      <c r="DN106" s="195"/>
      <c r="DO106" s="195"/>
      <c r="DP106" s="195"/>
      <c r="DQ106" s="195"/>
      <c r="DR106" s="195"/>
      <c r="DS106" s="195"/>
      <c r="DT106" s="195"/>
      <c r="DU106" s="195"/>
      <c r="DV106" s="195"/>
      <c r="DW106" s="195"/>
      <c r="DX106" s="195"/>
      <c r="EB106" s="335"/>
      <c r="EH106" s="335"/>
      <c r="GP106" s="335"/>
    </row>
    <row r="107" spans="2:198" x14ac:dyDescent="0.25">
      <c r="B107" s="139"/>
      <c r="C107" s="140"/>
      <c r="D107" s="140"/>
      <c r="E107" s="144"/>
      <c r="F107" s="144"/>
      <c r="G107" s="144"/>
      <c r="H107" s="144"/>
      <c r="I107" s="145"/>
      <c r="J107" s="145"/>
      <c r="K107" s="145"/>
      <c r="L107" s="152"/>
      <c r="M107" s="144"/>
      <c r="N107" s="145"/>
      <c r="O107" s="145"/>
      <c r="P107" s="145"/>
      <c r="Q107" s="152"/>
      <c r="R107" s="335"/>
      <c r="S107" t="str">
        <f>S106</f>
        <v>Bicycle/LV speed differential</v>
      </c>
      <c r="T107" s="35" t="s">
        <v>56</v>
      </c>
      <c r="U107">
        <v>2</v>
      </c>
      <c r="V107">
        <f>'CycleRAP Model'!O53</f>
        <v>1</v>
      </c>
      <c r="W107" s="158" t="b">
        <f t="shared" si="58"/>
        <v>0</v>
      </c>
      <c r="X107" s="163"/>
      <c r="Y107" s="166"/>
      <c r="Z107" s="166"/>
      <c r="AA107" s="184"/>
      <c r="AB107" s="163"/>
      <c r="AC107" s="166"/>
      <c r="AD107" s="166"/>
      <c r="AE107" s="184"/>
      <c r="AF107" s="206"/>
      <c r="AG107" s="195"/>
      <c r="AH107" s="195"/>
      <c r="AI107" s="206"/>
      <c r="AJ107" s="195"/>
      <c r="AK107" s="195"/>
      <c r="AL107" s="195"/>
      <c r="AM107" s="195"/>
      <c r="AN107" s="195"/>
      <c r="AO107" s="195"/>
      <c r="AP107" s="195"/>
      <c r="AQ107" s="195"/>
      <c r="AR107" s="195"/>
      <c r="AS107" s="195"/>
      <c r="AT107" s="195"/>
      <c r="AU107" s="195"/>
      <c r="AV107" s="206"/>
      <c r="AW107" s="195"/>
      <c r="AX107" s="195"/>
      <c r="AY107" s="195"/>
      <c r="AZ107" s="195"/>
      <c r="BA107" s="195"/>
      <c r="BB107" s="195"/>
      <c r="BC107" s="195"/>
      <c r="BD107" s="195"/>
      <c r="BE107" s="195"/>
      <c r="BF107" s="195"/>
      <c r="BG107" s="195"/>
      <c r="BH107" s="195"/>
      <c r="BI107" s="195"/>
      <c r="BJ107" s="195"/>
      <c r="BK107" s="195"/>
      <c r="BL107" s="195"/>
      <c r="BM107" s="195"/>
      <c r="BN107" s="195"/>
      <c r="BO107" s="195"/>
      <c r="BP107" s="195"/>
      <c r="BQ107" s="195"/>
      <c r="BR107" s="195"/>
      <c r="BS107" s="195"/>
      <c r="BT107" s="195"/>
      <c r="BU107" s="195"/>
      <c r="BV107" s="195"/>
      <c r="BW107" s="195"/>
      <c r="BX107" s="195"/>
      <c r="BY107" s="195"/>
      <c r="BZ107" s="195"/>
      <c r="CA107" s="195"/>
      <c r="CB107" s="195"/>
      <c r="CC107" s="195"/>
      <c r="CD107" s="195"/>
      <c r="CE107" s="201" t="b">
        <v>1</v>
      </c>
      <c r="CF107" s="195"/>
      <c r="CG107" s="195"/>
      <c r="CH107" s="195"/>
      <c r="CI107" s="195"/>
      <c r="CJ107" s="195"/>
      <c r="CK107" s="195"/>
      <c r="CL107" s="195"/>
      <c r="CM107" s="195"/>
      <c r="CN107" s="195"/>
      <c r="CO107" s="195"/>
      <c r="CP107" s="195"/>
      <c r="CQ107" s="195"/>
      <c r="CR107" s="195"/>
      <c r="CS107" s="195"/>
      <c r="CT107" s="195"/>
      <c r="CU107" s="195"/>
      <c r="CV107" s="195"/>
      <c r="CW107" s="195"/>
      <c r="CX107" s="195"/>
      <c r="CY107" s="195"/>
      <c r="CZ107" s="195"/>
      <c r="DA107" s="195"/>
      <c r="DB107" s="195"/>
      <c r="DC107" s="195"/>
      <c r="DD107" s="195"/>
      <c r="DE107" s="195"/>
      <c r="DF107" s="195"/>
      <c r="DG107" s="195"/>
      <c r="DH107" s="195"/>
      <c r="DI107" s="195"/>
      <c r="DJ107" s="195"/>
      <c r="DK107" s="195"/>
      <c r="DL107" s="195"/>
      <c r="DM107" s="195"/>
      <c r="DN107" s="195"/>
      <c r="DO107" s="195"/>
      <c r="DP107" s="195"/>
      <c r="DQ107" s="195"/>
      <c r="DR107" s="195"/>
      <c r="DS107" s="201" t="b">
        <v>1</v>
      </c>
      <c r="DT107" s="195"/>
      <c r="DU107" s="195"/>
      <c r="DV107" s="195"/>
      <c r="DW107" s="195"/>
      <c r="DX107" s="195"/>
      <c r="EB107" s="335"/>
      <c r="EH107" s="335"/>
      <c r="GP107" s="335"/>
    </row>
    <row r="108" spans="2:198" x14ac:dyDescent="0.25">
      <c r="B108" s="139"/>
      <c r="C108" s="140"/>
      <c r="D108" s="140"/>
      <c r="E108" s="144"/>
      <c r="F108" s="144"/>
      <c r="G108" s="144"/>
      <c r="H108" s="144"/>
      <c r="I108" s="145"/>
      <c r="J108" s="145"/>
      <c r="K108" s="145"/>
      <c r="L108" s="152"/>
      <c r="M108" s="144"/>
      <c r="N108" s="145"/>
      <c r="O108" s="145"/>
      <c r="P108" s="145"/>
      <c r="Q108" s="152"/>
      <c r="R108" s="335"/>
      <c r="S108" s="4" t="s">
        <v>58</v>
      </c>
      <c r="T108" s="159" t="s">
        <v>338</v>
      </c>
      <c r="U108" s="160" t="s">
        <v>339</v>
      </c>
      <c r="V108" s="157">
        <f>'CycleRAP Model'!O54</f>
        <v>39500</v>
      </c>
      <c r="W108" s="162"/>
      <c r="X108" s="176"/>
      <c r="Y108" s="176"/>
      <c r="Z108" s="176"/>
      <c r="AA108" s="176"/>
      <c r="AB108" s="176"/>
      <c r="AC108" s="176"/>
      <c r="AD108" s="176"/>
      <c r="AE108" s="176"/>
      <c r="AF108" s="214"/>
      <c r="AG108" s="203"/>
      <c r="AH108" s="203"/>
      <c r="AI108" s="214"/>
      <c r="AJ108" s="203"/>
      <c r="AK108" s="203"/>
      <c r="AL108" s="203"/>
      <c r="AM108" s="197"/>
      <c r="AN108" s="197"/>
      <c r="AO108" s="197"/>
      <c r="AP108" s="197"/>
      <c r="AQ108" s="197"/>
      <c r="AR108" s="197"/>
      <c r="AS108" s="197"/>
      <c r="AT108" s="197"/>
      <c r="AU108" s="197"/>
      <c r="AV108" s="208"/>
      <c r="AW108" s="197"/>
      <c r="AX108" s="197"/>
      <c r="AY108" s="197"/>
      <c r="AZ108" s="197"/>
      <c r="BA108" s="197"/>
      <c r="BB108" s="197"/>
      <c r="BC108" s="197"/>
      <c r="BD108" s="197"/>
      <c r="BE108" s="197"/>
      <c r="BF108" s="197"/>
      <c r="BG108" s="197"/>
      <c r="BH108" s="197"/>
      <c r="BI108" s="197"/>
      <c r="BJ108" s="197"/>
      <c r="BK108" s="197"/>
      <c r="BL108" s="197"/>
      <c r="BM108" s="197"/>
      <c r="BN108" s="197"/>
      <c r="BO108" s="197"/>
      <c r="BP108" s="197"/>
      <c r="BQ108" s="197"/>
      <c r="BR108" s="197"/>
      <c r="BS108" s="197"/>
      <c r="BT108" s="197"/>
      <c r="BU108" s="197"/>
      <c r="BV108" s="197"/>
      <c r="BW108" s="197"/>
      <c r="BX108" s="197"/>
      <c r="BY108" s="197"/>
      <c r="BZ108" s="197"/>
      <c r="CA108" s="197"/>
      <c r="CB108" s="197"/>
      <c r="CC108" s="197"/>
      <c r="CD108" s="197"/>
      <c r="CE108" s="197"/>
      <c r="CF108" s="197"/>
      <c r="CG108" s="197"/>
      <c r="CH108" s="197"/>
      <c r="CI108" s="197"/>
      <c r="CJ108" s="197"/>
      <c r="CK108" s="197"/>
      <c r="CL108" s="197"/>
      <c r="CM108" s="197"/>
      <c r="CN108" s="197"/>
      <c r="CO108" s="197"/>
      <c r="CP108" s="197"/>
      <c r="CQ108" s="197"/>
      <c r="CR108" s="197"/>
      <c r="CS108" s="197"/>
      <c r="CT108" s="197"/>
      <c r="CU108" s="197"/>
      <c r="CV108" s="197"/>
      <c r="CW108" s="197"/>
      <c r="CX108" s="197"/>
      <c r="CY108" s="197"/>
      <c r="CZ108" s="197"/>
      <c r="DA108" s="197"/>
      <c r="DB108" s="197"/>
      <c r="DC108" s="197"/>
      <c r="DD108" s="197"/>
      <c r="DE108" s="197"/>
      <c r="DF108" s="197"/>
      <c r="DG108" s="197"/>
      <c r="DH108" s="197"/>
      <c r="DI108" s="197"/>
      <c r="DJ108" s="197"/>
      <c r="DK108" s="197"/>
      <c r="DL108" s="197"/>
      <c r="DM108" s="197"/>
      <c r="DN108" s="197"/>
      <c r="DO108" s="197"/>
      <c r="DP108" s="197"/>
      <c r="DQ108" s="197"/>
      <c r="DR108" s="197"/>
      <c r="DS108" s="197"/>
      <c r="DT108" s="197"/>
      <c r="DU108" s="197"/>
      <c r="DV108" s="197"/>
      <c r="DW108" s="197"/>
      <c r="DX108" s="197"/>
      <c r="EB108" s="335"/>
      <c r="EH108" s="335"/>
      <c r="GP108" s="335"/>
    </row>
    <row r="109" spans="2:198" x14ac:dyDescent="0.25">
      <c r="B109" s="139"/>
      <c r="C109" s="140"/>
      <c r="D109" s="140"/>
      <c r="E109" s="144"/>
      <c r="F109" s="144"/>
      <c r="G109" s="144"/>
      <c r="H109" s="144"/>
      <c r="I109" s="145"/>
      <c r="J109" s="145"/>
      <c r="K109" s="145"/>
      <c r="L109" s="152"/>
      <c r="M109" s="144"/>
      <c r="N109" s="145"/>
      <c r="O109" s="145"/>
      <c r="P109" s="145"/>
      <c r="Q109" s="152"/>
      <c r="R109" s="335"/>
      <c r="S109" t="str">
        <f>S110</f>
        <v>Road AADT</v>
      </c>
      <c r="T109" s="103" t="s">
        <v>340</v>
      </c>
      <c r="U109" t="s">
        <v>59</v>
      </c>
      <c r="V109">
        <f>V108</f>
        <v>39500</v>
      </c>
      <c r="W109" s="158"/>
      <c r="X109" s="168"/>
      <c r="Y109" s="168"/>
      <c r="Z109" s="168"/>
      <c r="AA109" s="168"/>
      <c r="AB109" s="168"/>
      <c r="AC109" s="168"/>
      <c r="AD109" s="168"/>
      <c r="AE109" s="168"/>
      <c r="AF109" s="215"/>
      <c r="AG109" s="204"/>
      <c r="AH109" s="204"/>
      <c r="AI109" s="215"/>
      <c r="AJ109" s="204"/>
      <c r="AK109" s="204"/>
      <c r="AL109" s="204"/>
      <c r="AM109" s="195"/>
      <c r="AN109" s="195"/>
      <c r="AO109" s="195"/>
      <c r="AP109" s="195"/>
      <c r="AQ109" s="195"/>
      <c r="AR109" s="195"/>
      <c r="AS109" s="195"/>
      <c r="AT109" s="195"/>
      <c r="AU109" s="195"/>
      <c r="AV109" s="206"/>
      <c r="AW109" s="195"/>
      <c r="AX109" s="195"/>
      <c r="AY109" s="195"/>
      <c r="AZ109" s="204">
        <v>10000</v>
      </c>
      <c r="BA109" s="195"/>
      <c r="BB109" s="204">
        <v>10000</v>
      </c>
      <c r="BC109" s="195"/>
      <c r="BD109" s="195"/>
      <c r="BE109" s="195"/>
      <c r="BF109" s="195"/>
      <c r="BG109" s="195"/>
      <c r="BH109" s="195"/>
      <c r="BI109" s="195"/>
      <c r="BJ109" s="195"/>
      <c r="BK109" s="195"/>
      <c r="BL109" s="195"/>
      <c r="BM109" s="195"/>
      <c r="BN109" s="195"/>
      <c r="BO109" s="195"/>
      <c r="BP109" s="195"/>
      <c r="BQ109" s="195"/>
      <c r="BR109" s="195"/>
      <c r="BS109" s="195"/>
      <c r="BT109" s="195"/>
      <c r="BU109" s="195"/>
      <c r="BV109" s="195"/>
      <c r="BW109" s="195"/>
      <c r="BX109" s="195"/>
      <c r="BY109" s="195"/>
      <c r="BZ109" s="195"/>
      <c r="CA109" s="195"/>
      <c r="CB109" s="195"/>
      <c r="CC109" s="195"/>
      <c r="CD109" s="195"/>
      <c r="CE109" s="195"/>
      <c r="CF109" s="195"/>
      <c r="CG109" s="195"/>
      <c r="CH109" s="195"/>
      <c r="CI109" s="195"/>
      <c r="CJ109" s="195"/>
      <c r="CK109" s="195"/>
      <c r="CL109" s="195"/>
      <c r="CM109" s="195"/>
      <c r="CN109" s="195"/>
      <c r="CO109" s="195"/>
      <c r="CP109" s="195"/>
      <c r="CQ109" s="195"/>
      <c r="CR109" s="195"/>
      <c r="CS109" s="204">
        <v>15000</v>
      </c>
      <c r="CT109" s="195"/>
      <c r="CU109" s="195"/>
      <c r="CV109" s="195"/>
      <c r="CW109" s="195"/>
      <c r="CX109" s="195"/>
      <c r="CY109" s="195"/>
      <c r="CZ109" s="195"/>
      <c r="DA109" s="201">
        <v>8000</v>
      </c>
      <c r="DB109" s="201">
        <v>8000</v>
      </c>
      <c r="DC109" s="195"/>
      <c r="DD109" s="195"/>
      <c r="DE109" s="195"/>
      <c r="DF109" s="195"/>
      <c r="DG109" s="195"/>
      <c r="DH109" s="195"/>
      <c r="DI109" s="195"/>
      <c r="DJ109" s="195"/>
      <c r="DK109" s="195"/>
      <c r="DL109" s="195"/>
      <c r="DM109" s="195"/>
      <c r="DN109" s="195"/>
      <c r="DO109" s="195"/>
      <c r="DP109" s="195"/>
      <c r="DQ109" s="195"/>
      <c r="DR109" s="195"/>
      <c r="DS109" s="195"/>
      <c r="DT109" s="195"/>
      <c r="DU109" s="195"/>
      <c r="DV109" s="195"/>
      <c r="DW109" s="195"/>
      <c r="DX109" s="195"/>
      <c r="EB109" s="335"/>
      <c r="EH109" s="335"/>
      <c r="GP109" s="335"/>
    </row>
    <row r="110" spans="2:198" x14ac:dyDescent="0.25">
      <c r="B110" s="139"/>
      <c r="C110" s="140"/>
      <c r="D110" s="140"/>
      <c r="E110" s="144"/>
      <c r="F110" s="144"/>
      <c r="G110" s="144"/>
      <c r="H110" s="144"/>
      <c r="I110" s="145"/>
      <c r="J110" s="145"/>
      <c r="K110" s="145"/>
      <c r="L110" s="152"/>
      <c r="M110" s="144"/>
      <c r="N110" s="145"/>
      <c r="O110" s="145"/>
      <c r="P110" s="145"/>
      <c r="Q110" s="152"/>
      <c r="R110" s="335"/>
      <c r="S110" t="str">
        <f>S111</f>
        <v>Road AADT</v>
      </c>
      <c r="T110" s="103" t="s">
        <v>341</v>
      </c>
      <c r="U110" t="s">
        <v>342</v>
      </c>
      <c r="V110">
        <f>V109</f>
        <v>39500</v>
      </c>
      <c r="W110" s="158"/>
      <c r="X110" s="168"/>
      <c r="Y110" s="168"/>
      <c r="Z110" s="168"/>
      <c r="AA110" s="168"/>
      <c r="AB110" s="168"/>
      <c r="AC110" s="168"/>
      <c r="AD110" s="168"/>
      <c r="AE110" s="168"/>
      <c r="AF110" s="215"/>
      <c r="AG110" s="204"/>
      <c r="AH110" s="204"/>
      <c r="AI110" s="215"/>
      <c r="AJ110" s="204"/>
      <c r="AK110" s="204"/>
      <c r="AL110" s="204"/>
      <c r="AM110" s="195"/>
      <c r="AN110" s="195"/>
      <c r="AO110" s="195"/>
      <c r="AP110" s="195"/>
      <c r="AQ110" s="195"/>
      <c r="AR110" s="195"/>
      <c r="AS110" s="195"/>
      <c r="AT110" s="195"/>
      <c r="AU110" s="195"/>
      <c r="AV110" s="206"/>
      <c r="AW110" s="195"/>
      <c r="AX110" s="195"/>
      <c r="AY110" s="195"/>
      <c r="AZ110" s="195"/>
      <c r="BA110" s="195"/>
      <c r="BB110" s="195"/>
      <c r="BC110" s="195"/>
      <c r="BD110" s="195"/>
      <c r="BE110" s="195"/>
      <c r="BF110" s="195"/>
      <c r="BG110" s="195"/>
      <c r="BH110" s="195"/>
      <c r="BI110" s="195"/>
      <c r="BJ110" s="195"/>
      <c r="BK110" s="195"/>
      <c r="BL110" s="195"/>
      <c r="BM110" s="195"/>
      <c r="BN110" s="195"/>
      <c r="BO110" s="195"/>
      <c r="BP110" s="195"/>
      <c r="BQ110" s="195"/>
      <c r="BR110" s="195"/>
      <c r="BS110" s="195"/>
      <c r="BT110" s="195"/>
      <c r="BU110" s="195"/>
      <c r="BV110" s="195"/>
      <c r="BW110" s="195"/>
      <c r="BX110" s="195"/>
      <c r="BY110" s="195"/>
      <c r="BZ110" s="195"/>
      <c r="CA110" s="195"/>
      <c r="CB110" s="195"/>
      <c r="CC110" s="195"/>
      <c r="CD110" s="195"/>
      <c r="CE110" s="195"/>
      <c r="CF110" s="195"/>
      <c r="CG110" s="195"/>
      <c r="CH110" s="195"/>
      <c r="CI110" s="195"/>
      <c r="CJ110" s="195"/>
      <c r="CK110" s="195"/>
      <c r="CL110" s="195"/>
      <c r="CM110" s="195"/>
      <c r="CN110" s="195"/>
      <c r="CO110" s="195"/>
      <c r="CP110" s="195"/>
      <c r="CQ110" s="195"/>
      <c r="CR110" s="195"/>
      <c r="CS110" s="195"/>
      <c r="CT110" s="195"/>
      <c r="CU110" s="195"/>
      <c r="CV110" s="195"/>
      <c r="CW110" s="195"/>
      <c r="CX110" s="195"/>
      <c r="CY110" s="195"/>
      <c r="CZ110" s="195"/>
      <c r="DA110" s="195"/>
      <c r="DB110" s="195"/>
      <c r="DC110" s="195"/>
      <c r="DD110" s="195"/>
      <c r="DE110" s="195"/>
      <c r="DF110" s="195"/>
      <c r="DG110" s="195"/>
      <c r="DH110" s="195"/>
      <c r="DI110" s="195"/>
      <c r="DJ110" s="195"/>
      <c r="DK110" s="195"/>
      <c r="DL110" s="195"/>
      <c r="DM110" s="195"/>
      <c r="DN110" s="195"/>
      <c r="DO110" s="195"/>
      <c r="DP110" s="195"/>
      <c r="DQ110" s="195"/>
      <c r="DR110" s="195"/>
      <c r="DS110" s="195"/>
      <c r="DT110" s="195"/>
      <c r="DU110" s="195"/>
      <c r="DV110" s="195"/>
      <c r="DW110" s="195"/>
      <c r="DX110" s="195"/>
      <c r="EB110" s="335"/>
      <c r="EH110" s="335"/>
      <c r="GP110" s="335"/>
    </row>
    <row r="111" spans="2:198" x14ac:dyDescent="0.25">
      <c r="B111" s="139"/>
      <c r="C111" s="140"/>
      <c r="D111" s="140"/>
      <c r="E111" s="144"/>
      <c r="F111" s="144"/>
      <c r="G111" s="144"/>
      <c r="H111" s="144"/>
      <c r="I111" s="144"/>
      <c r="J111" s="144"/>
      <c r="K111" s="144"/>
      <c r="L111" s="153"/>
      <c r="M111" s="144"/>
      <c r="N111" s="144"/>
      <c r="O111" s="144"/>
      <c r="P111" s="144"/>
      <c r="Q111" s="153"/>
      <c r="R111" s="335"/>
      <c r="S111" t="str">
        <f>S108</f>
        <v>Road AADT</v>
      </c>
      <c r="T111" s="103" t="s">
        <v>343</v>
      </c>
      <c r="U111" t="s">
        <v>344</v>
      </c>
      <c r="V111">
        <f>V110</f>
        <v>39500</v>
      </c>
      <c r="W111" s="158"/>
      <c r="X111" s="177"/>
      <c r="Y111" s="177"/>
      <c r="Z111" s="177"/>
      <c r="AA111" s="177"/>
      <c r="AB111" s="177"/>
      <c r="AC111" s="177"/>
      <c r="AD111" s="177"/>
      <c r="AE111" s="177"/>
      <c r="AF111" s="216"/>
      <c r="AG111" s="205"/>
      <c r="AH111" s="205"/>
      <c r="AI111" s="216"/>
      <c r="AJ111" s="205"/>
      <c r="AK111" s="205"/>
      <c r="AL111" s="205"/>
      <c r="AM111" s="205">
        <v>500</v>
      </c>
      <c r="AN111" s="205">
        <v>500</v>
      </c>
      <c r="AO111" s="198"/>
      <c r="AP111" s="198"/>
      <c r="AQ111" s="198"/>
      <c r="AR111" s="198"/>
      <c r="AS111" s="198"/>
      <c r="AT111" s="198"/>
      <c r="AU111" s="198"/>
      <c r="AV111" s="209"/>
      <c r="AW111" s="198"/>
      <c r="AX111" s="198"/>
      <c r="AY111" s="198"/>
      <c r="AZ111" s="198"/>
      <c r="BA111" s="198"/>
      <c r="BB111" s="198"/>
      <c r="BC111" s="198"/>
      <c r="BD111" s="198"/>
      <c r="BE111" s="198"/>
      <c r="BF111" s="198"/>
      <c r="BG111" s="198"/>
      <c r="BH111" s="198"/>
      <c r="BI111" s="198"/>
      <c r="BJ111" s="198"/>
      <c r="BK111" s="198"/>
      <c r="BL111" s="198"/>
      <c r="BM111" s="198"/>
      <c r="BN111" s="198"/>
      <c r="BO111" s="198"/>
      <c r="BP111" s="198"/>
      <c r="BQ111" s="198"/>
      <c r="BR111" s="198"/>
      <c r="BS111" s="198"/>
      <c r="BT111" s="198"/>
      <c r="BU111" s="198"/>
      <c r="BV111" s="198"/>
      <c r="BW111" s="198"/>
      <c r="BX111" s="198"/>
      <c r="BY111" s="198"/>
      <c r="BZ111" s="198"/>
      <c r="CA111" s="198"/>
      <c r="CB111" s="198"/>
      <c r="CC111" s="198"/>
      <c r="CD111" s="198"/>
      <c r="CE111" s="198"/>
      <c r="CF111" s="198"/>
      <c r="CG111" s="198"/>
      <c r="CH111" s="198"/>
      <c r="CI111" s="198"/>
      <c r="CJ111" s="198"/>
      <c r="CK111" s="198"/>
      <c r="CL111" s="198"/>
      <c r="CM111" s="198"/>
      <c r="CN111" s="198"/>
      <c r="CO111" s="198"/>
      <c r="CP111" s="198"/>
      <c r="CQ111" s="198"/>
      <c r="CR111" s="198"/>
      <c r="CS111" s="198"/>
      <c r="CT111" s="198"/>
      <c r="CU111" s="198"/>
      <c r="CV111" s="198"/>
      <c r="CW111" s="198"/>
      <c r="CX111" s="198"/>
      <c r="CY111" s="198"/>
      <c r="CZ111" s="198"/>
      <c r="DA111" s="198"/>
      <c r="DB111" s="198"/>
      <c r="DC111" s="198"/>
      <c r="DD111" s="198"/>
      <c r="DE111" s="198"/>
      <c r="DF111" s="198"/>
      <c r="DG111" s="198"/>
      <c r="DH111" s="198"/>
      <c r="DI111" s="198"/>
      <c r="DJ111" s="198"/>
      <c r="DK111" s="198"/>
      <c r="DL111" s="198"/>
      <c r="DM111" s="198"/>
      <c r="DN111" s="198"/>
      <c r="DO111" s="198"/>
      <c r="DP111" s="198"/>
      <c r="DQ111" s="198"/>
      <c r="DR111" s="198"/>
      <c r="DS111" s="198"/>
      <c r="DT111" s="198"/>
      <c r="DU111" s="198"/>
      <c r="DV111" s="198"/>
      <c r="DW111" s="198"/>
      <c r="DX111" s="198"/>
      <c r="EB111" s="335"/>
      <c r="EH111" s="335"/>
      <c r="GP111" s="335"/>
    </row>
    <row r="112" spans="2:198" x14ac:dyDescent="0.25">
      <c r="B112" s="139"/>
      <c r="C112" s="140"/>
      <c r="D112" s="140"/>
      <c r="E112" s="144"/>
      <c r="F112" s="144"/>
      <c r="G112" s="144"/>
      <c r="H112" s="144"/>
      <c r="I112" s="144"/>
      <c r="J112" s="144"/>
      <c r="K112" s="144"/>
      <c r="L112" s="153"/>
      <c r="M112" s="144"/>
      <c r="N112" s="144"/>
      <c r="O112" s="144"/>
      <c r="P112" s="144"/>
      <c r="Q112" s="153"/>
      <c r="R112" s="335"/>
      <c r="S112" s="4" t="s">
        <v>62</v>
      </c>
      <c r="T112" s="4" t="s">
        <v>236</v>
      </c>
      <c r="U112" s="157">
        <v>1</v>
      </c>
      <c r="V112" s="157">
        <f>'CycleRAP Model'!O55</f>
        <v>2</v>
      </c>
      <c r="W112" s="162" t="b">
        <f t="shared" si="58"/>
        <v>0</v>
      </c>
      <c r="X112" s="166"/>
      <c r="Y112" s="166"/>
      <c r="Z112" s="163"/>
      <c r="AA112" s="181"/>
      <c r="AB112" s="166"/>
      <c r="AC112" s="166"/>
      <c r="AD112" s="163"/>
      <c r="AE112" s="181"/>
      <c r="AF112" s="195"/>
      <c r="AG112" s="195"/>
      <c r="AH112" s="195"/>
      <c r="AI112" s="195"/>
      <c r="AJ112" s="195"/>
      <c r="AK112" s="195"/>
      <c r="AL112" s="195"/>
      <c r="AM112" s="195"/>
      <c r="AN112" s="195"/>
      <c r="AO112" s="195"/>
      <c r="AP112" s="195"/>
      <c r="AQ112" s="195"/>
      <c r="AR112" s="195"/>
      <c r="AS112" s="195"/>
      <c r="AT112" s="195"/>
      <c r="AU112" s="195"/>
      <c r="AV112" s="206"/>
      <c r="AW112" s="195"/>
      <c r="AX112" s="195"/>
      <c r="AY112" s="195"/>
      <c r="AZ112" s="195"/>
      <c r="BA112" s="195"/>
      <c r="BB112" s="195"/>
      <c r="BC112" s="195"/>
      <c r="BD112" s="195"/>
      <c r="BE112" s="195"/>
      <c r="BF112" s="195"/>
      <c r="BG112" s="195"/>
      <c r="BH112" s="195"/>
      <c r="BI112" s="195"/>
      <c r="BJ112" s="195"/>
      <c r="BK112" s="195"/>
      <c r="BL112" s="195"/>
      <c r="BM112" s="195"/>
      <c r="BN112" s="195"/>
      <c r="BO112" s="195"/>
      <c r="BP112" s="195"/>
      <c r="BQ112" s="195"/>
      <c r="BR112" s="195"/>
      <c r="BS112" s="195"/>
      <c r="BT112" s="195"/>
      <c r="BU112" s="195"/>
      <c r="BV112" s="195"/>
      <c r="BW112" s="195"/>
      <c r="BX112" s="195"/>
      <c r="BY112" s="195"/>
      <c r="BZ112" s="195"/>
      <c r="CA112" s="195"/>
      <c r="CB112" s="195"/>
      <c r="CC112" s="195"/>
      <c r="CD112" s="195"/>
      <c r="CE112" s="195"/>
      <c r="CF112" s="195"/>
      <c r="CG112" s="195"/>
      <c r="CH112" s="195"/>
      <c r="CI112" s="195"/>
      <c r="CJ112" s="195"/>
      <c r="CK112" s="195"/>
      <c r="CL112" s="195"/>
      <c r="CM112" s="195"/>
      <c r="CN112" s="195"/>
      <c r="CO112" s="195"/>
      <c r="CP112" s="195"/>
      <c r="CQ112" s="195"/>
      <c r="CR112" s="195"/>
      <c r="CS112" s="195"/>
      <c r="CT112" s="195"/>
      <c r="CU112" s="195"/>
      <c r="CV112" s="195"/>
      <c r="CW112" s="195"/>
      <c r="CX112" s="195"/>
      <c r="CY112" s="195"/>
      <c r="CZ112" s="195"/>
      <c r="DA112" s="195"/>
      <c r="DB112" s="195"/>
      <c r="DC112" s="195"/>
      <c r="DD112" s="195"/>
      <c r="DE112" s="195"/>
      <c r="DF112" s="195"/>
      <c r="DG112" s="195"/>
      <c r="DH112" s="195"/>
      <c r="DI112" s="195"/>
      <c r="DJ112" s="195"/>
      <c r="DK112" s="195"/>
      <c r="DL112" s="195"/>
      <c r="DM112" s="195"/>
      <c r="DN112" s="195"/>
      <c r="DO112" s="195"/>
      <c r="DP112" s="195"/>
      <c r="DQ112" s="195"/>
      <c r="DR112" s="195"/>
      <c r="DS112" s="195"/>
      <c r="DT112" s="195"/>
      <c r="DU112" s="195"/>
      <c r="DV112" s="195"/>
      <c r="DW112" s="195"/>
      <c r="DX112" s="195"/>
      <c r="EB112" s="335"/>
      <c r="EH112" s="335"/>
      <c r="GP112" s="335"/>
    </row>
    <row r="113" spans="2:198" x14ac:dyDescent="0.25">
      <c r="B113" s="139"/>
      <c r="C113" s="140"/>
      <c r="D113" s="140"/>
      <c r="E113" s="144"/>
      <c r="F113" s="144"/>
      <c r="G113" s="144"/>
      <c r="H113" s="144"/>
      <c r="I113" s="144"/>
      <c r="J113" s="144"/>
      <c r="K113" s="144"/>
      <c r="L113" s="153"/>
      <c r="M113" s="144"/>
      <c r="N113" s="144"/>
      <c r="O113" s="144"/>
      <c r="P113" s="144"/>
      <c r="Q113" s="153"/>
      <c r="R113" s="335"/>
      <c r="S113" t="str">
        <f>S112</f>
        <v>Heavy vehicle flow</v>
      </c>
      <c r="T113" t="s">
        <v>46</v>
      </c>
      <c r="U113">
        <v>2</v>
      </c>
      <c r="V113">
        <f>'CycleRAP Model'!O55</f>
        <v>2</v>
      </c>
      <c r="W113" s="158" t="b">
        <f t="shared" si="58"/>
        <v>1</v>
      </c>
      <c r="X113" s="163"/>
      <c r="Y113" s="163"/>
      <c r="Z113" s="166"/>
      <c r="AA113" s="184"/>
      <c r="AB113" s="163"/>
      <c r="AC113" s="163"/>
      <c r="AD113" s="166"/>
      <c r="AE113" s="184"/>
      <c r="AF113" s="205" t="b">
        <v>1</v>
      </c>
      <c r="AG113" s="205" t="b">
        <v>1</v>
      </c>
      <c r="AH113" s="195"/>
      <c r="AI113" s="205" t="b">
        <v>1</v>
      </c>
      <c r="AJ113" s="195"/>
      <c r="AK113" s="195"/>
      <c r="AL113" s="195"/>
      <c r="AM113" s="195"/>
      <c r="AN113" s="195"/>
      <c r="AO113" s="195"/>
      <c r="AP113" s="195"/>
      <c r="AQ113" s="195"/>
      <c r="AR113" s="195"/>
      <c r="AS113" s="195"/>
      <c r="AT113" s="195"/>
      <c r="AU113" s="195"/>
      <c r="AV113" s="206"/>
      <c r="AW113" s="195"/>
      <c r="AX113" s="195"/>
      <c r="AY113" s="195"/>
      <c r="AZ113" s="195"/>
      <c r="BA113" s="195"/>
      <c r="BB113" s="195"/>
      <c r="BC113" s="195"/>
      <c r="BD113" s="195"/>
      <c r="BE113" s="195"/>
      <c r="BF113" s="195"/>
      <c r="BG113" s="195"/>
      <c r="BH113" s="195"/>
      <c r="BI113" s="195"/>
      <c r="BJ113" s="195"/>
      <c r="BK113" s="195"/>
      <c r="BL113" s="195"/>
      <c r="BM113" s="195"/>
      <c r="BN113" s="195"/>
      <c r="BO113" s="195"/>
      <c r="BP113" s="195"/>
      <c r="BQ113" s="195"/>
      <c r="BR113" s="195"/>
      <c r="BS113" s="195"/>
      <c r="BT113" s="195"/>
      <c r="BU113" s="195"/>
      <c r="BV113" s="195"/>
      <c r="BW113" s="195"/>
      <c r="BX113" s="195"/>
      <c r="BY113" s="195"/>
      <c r="BZ113" s="195"/>
      <c r="CA113" s="195"/>
      <c r="CB113" s="195"/>
      <c r="CC113" s="195"/>
      <c r="CD113" s="195"/>
      <c r="CE113" s="195"/>
      <c r="CF113" s="195"/>
      <c r="CG113" s="195"/>
      <c r="CH113" s="195"/>
      <c r="CI113" s="195"/>
      <c r="CJ113" s="195"/>
      <c r="CK113" s="195"/>
      <c r="CL113" s="195"/>
      <c r="CM113" s="195"/>
      <c r="CN113" s="195"/>
      <c r="CO113" s="195"/>
      <c r="CP113" s="195"/>
      <c r="CQ113" s="195"/>
      <c r="CR113" s="195"/>
      <c r="CS113" s="195"/>
      <c r="CT113" s="195"/>
      <c r="CU113" s="201" t="b">
        <v>1</v>
      </c>
      <c r="CV113" s="195"/>
      <c r="CW113" s="195"/>
      <c r="CX113" s="195"/>
      <c r="CY113" s="195"/>
      <c r="CZ113" s="195"/>
      <c r="DA113" s="195"/>
      <c r="DB113" s="195"/>
      <c r="DC113" s="195"/>
      <c r="DD113" s="195"/>
      <c r="DE113" s="195"/>
      <c r="DF113" s="195"/>
      <c r="DG113" s="195"/>
      <c r="DH113" s="195"/>
      <c r="DI113" s="195"/>
      <c r="DJ113" s="195"/>
      <c r="DK113" s="201" t="b">
        <v>1</v>
      </c>
      <c r="DL113" s="195"/>
      <c r="DM113" s="195"/>
      <c r="DN113" s="195"/>
      <c r="DO113" s="201" t="b">
        <v>1</v>
      </c>
      <c r="DP113" s="195"/>
      <c r="DQ113" s="195"/>
      <c r="DR113" s="195"/>
      <c r="DS113" s="195"/>
      <c r="DT113" s="195"/>
      <c r="DU113" s="195"/>
      <c r="DV113" s="195"/>
      <c r="DW113" s="195"/>
      <c r="DX113" s="195"/>
      <c r="EB113" s="335"/>
      <c r="EH113" s="335"/>
      <c r="GP113" s="335"/>
    </row>
    <row r="114" spans="2:198" x14ac:dyDescent="0.25">
      <c r="B114" s="139"/>
      <c r="C114" s="140"/>
      <c r="D114" s="140"/>
      <c r="E114" s="144"/>
      <c r="F114" s="144"/>
      <c r="G114" s="144"/>
      <c r="H114" s="144"/>
      <c r="I114" s="145"/>
      <c r="J114" s="145"/>
      <c r="K114" s="145"/>
      <c r="L114" s="152"/>
      <c r="M114" s="144"/>
      <c r="N114" s="145"/>
      <c r="O114" s="145"/>
      <c r="P114" s="145"/>
      <c r="Q114" s="152"/>
      <c r="R114" s="335"/>
      <c r="S114" s="4" t="s">
        <v>64</v>
      </c>
      <c r="T114" s="4" t="s">
        <v>165</v>
      </c>
      <c r="U114" s="157" t="s">
        <v>144</v>
      </c>
      <c r="V114" s="157">
        <f>'CycleRAP Model'!O56</f>
        <v>50</v>
      </c>
      <c r="W114" s="162"/>
      <c r="X114" s="178"/>
      <c r="Y114" s="178"/>
      <c r="Z114" s="178"/>
      <c r="AA114" s="190"/>
      <c r="AB114" s="178"/>
      <c r="AC114" s="178"/>
      <c r="AD114" s="178"/>
      <c r="AE114" s="190"/>
      <c r="AF114" s="210"/>
      <c r="AG114" s="199"/>
      <c r="AH114" s="199"/>
      <c r="AI114" s="210"/>
      <c r="AJ114" s="199"/>
      <c r="AK114" s="199"/>
      <c r="AL114" s="199"/>
      <c r="AM114" s="199"/>
      <c r="AN114" s="199"/>
      <c r="AO114" s="199"/>
      <c r="AP114" s="199"/>
      <c r="AQ114" s="199"/>
      <c r="AR114" s="199"/>
      <c r="AS114" s="199"/>
      <c r="AT114" s="199"/>
      <c r="AU114" s="199"/>
      <c r="AV114" s="210"/>
      <c r="AW114" s="199"/>
      <c r="AX114" s="199"/>
      <c r="AY114" s="199"/>
      <c r="AZ114" s="199"/>
      <c r="BA114" s="199"/>
      <c r="BB114" s="199"/>
      <c r="BC114" s="199"/>
      <c r="BD114" s="199"/>
      <c r="BE114" s="199"/>
      <c r="BF114" s="199"/>
      <c r="BG114" s="199"/>
      <c r="BH114" s="199"/>
      <c r="BI114" s="199"/>
      <c r="BJ114" s="199"/>
      <c r="BK114" s="199"/>
      <c r="BL114" s="199"/>
      <c r="BM114" s="199"/>
      <c r="BN114" s="199"/>
      <c r="BO114" s="199"/>
      <c r="BP114" s="199"/>
      <c r="BQ114" s="199"/>
      <c r="BR114" s="199"/>
      <c r="BS114" s="199"/>
      <c r="BT114" s="199"/>
      <c r="BU114" s="199"/>
      <c r="BV114" s="199"/>
      <c r="BW114" s="199"/>
      <c r="BX114" s="199"/>
      <c r="BY114" s="199"/>
      <c r="BZ114" s="199"/>
      <c r="CA114" s="199"/>
      <c r="CB114" s="199"/>
      <c r="CC114" s="199"/>
      <c r="CD114" s="199"/>
      <c r="CE114" s="199"/>
      <c r="CF114" s="199"/>
      <c r="CG114" s="199"/>
      <c r="CH114" s="199"/>
      <c r="CI114" s="199"/>
      <c r="CJ114" s="199"/>
      <c r="CK114" s="199"/>
      <c r="CL114" s="199"/>
      <c r="CM114" s="199"/>
      <c r="CN114" s="199"/>
      <c r="CO114" s="199"/>
      <c r="CP114" s="199"/>
      <c r="CQ114" s="199"/>
      <c r="CR114" s="199"/>
      <c r="CS114" s="199"/>
      <c r="CT114" s="199"/>
      <c r="CU114" s="199"/>
      <c r="CV114" s="199"/>
      <c r="CW114" s="199"/>
      <c r="CX114" s="199"/>
      <c r="CY114" s="199"/>
      <c r="CZ114" s="199"/>
      <c r="DA114" s="199"/>
      <c r="DB114" s="199"/>
      <c r="DC114" s="199"/>
      <c r="DD114" s="199"/>
      <c r="DE114" s="199"/>
      <c r="DF114" s="199"/>
      <c r="DG114" s="199"/>
      <c r="DH114" s="199"/>
      <c r="DI114" s="199"/>
      <c r="DJ114" s="199"/>
      <c r="DK114" s="199"/>
      <c r="DL114" s="199"/>
      <c r="DM114" s="199"/>
      <c r="DN114" s="199"/>
      <c r="DO114" s="199"/>
      <c r="DP114" s="199"/>
      <c r="DQ114" s="199"/>
      <c r="DR114" s="199"/>
      <c r="DS114" s="199"/>
      <c r="DT114" s="199"/>
      <c r="DU114" s="199"/>
      <c r="DV114" s="199"/>
      <c r="DW114" s="199"/>
      <c r="DX114" s="199"/>
      <c r="EB114" s="335"/>
      <c r="EH114" s="335"/>
      <c r="GP114" s="335"/>
    </row>
    <row r="115" spans="2:198" x14ac:dyDescent="0.25">
      <c r="B115" s="139"/>
      <c r="C115" s="140"/>
      <c r="D115" s="140"/>
      <c r="E115" s="144"/>
      <c r="F115" s="144"/>
      <c r="G115" s="144"/>
      <c r="H115" s="144"/>
      <c r="I115" s="145"/>
      <c r="J115" s="145"/>
      <c r="K115" s="145"/>
      <c r="L115" s="152"/>
      <c r="M115" s="144"/>
      <c r="N115" s="145"/>
      <c r="O115" s="145"/>
      <c r="P115" s="145"/>
      <c r="Q115" s="152"/>
      <c r="R115" s="335"/>
      <c r="S115" s="4" t="s">
        <v>345</v>
      </c>
      <c r="T115" s="159" t="s">
        <v>338</v>
      </c>
      <c r="U115" s="160" t="s">
        <v>339</v>
      </c>
      <c r="V115" s="157">
        <f>'CycleRAP Model'!O$57</f>
        <v>42.47</v>
      </c>
      <c r="W115" s="162"/>
      <c r="X115" s="176">
        <v>30</v>
      </c>
      <c r="Y115" s="176">
        <v>30</v>
      </c>
      <c r="Z115" s="176"/>
      <c r="AA115" s="191"/>
      <c r="AB115" s="282">
        <v>20</v>
      </c>
      <c r="AC115" s="282">
        <v>20</v>
      </c>
      <c r="AD115" s="176"/>
      <c r="AE115" s="191"/>
      <c r="AF115" s="214">
        <v>30</v>
      </c>
      <c r="AG115" s="197"/>
      <c r="AH115" s="204">
        <v>50</v>
      </c>
      <c r="AI115" s="280">
        <v>20</v>
      </c>
      <c r="AJ115" s="277">
        <v>30</v>
      </c>
      <c r="AK115" s="204">
        <v>70</v>
      </c>
      <c r="AL115" s="277">
        <v>45</v>
      </c>
      <c r="AM115" s="197"/>
      <c r="AN115" s="197"/>
      <c r="AO115" s="197"/>
      <c r="AP115" s="203"/>
      <c r="AQ115" s="197"/>
      <c r="AR115" s="197"/>
      <c r="AS115" s="199"/>
      <c r="AT115" s="199"/>
      <c r="AU115" s="199"/>
      <c r="AV115" s="208"/>
      <c r="AW115" s="197"/>
      <c r="AX115" s="197"/>
      <c r="AY115" s="197"/>
      <c r="AZ115" s="199"/>
      <c r="BA115" s="197"/>
      <c r="BB115" s="199"/>
      <c r="BC115" s="197"/>
      <c r="BD115" s="202">
        <v>30</v>
      </c>
      <c r="BE115" s="197"/>
      <c r="BF115" s="197"/>
      <c r="BG115" s="276">
        <v>20</v>
      </c>
      <c r="BH115" s="197"/>
      <c r="BI115" s="197"/>
      <c r="BJ115" s="197"/>
      <c r="BK115" s="197"/>
      <c r="BL115" s="197"/>
      <c r="BM115" s="197"/>
      <c r="BN115" s="197"/>
      <c r="BO115" s="197"/>
      <c r="BP115" s="197"/>
      <c r="BQ115" s="197"/>
      <c r="BR115" s="197"/>
      <c r="BS115" s="197"/>
      <c r="BT115" s="197"/>
      <c r="BU115" s="197"/>
      <c r="BV115" s="197"/>
      <c r="BW115" s="197"/>
      <c r="BX115" s="197"/>
      <c r="BY115" s="197"/>
      <c r="BZ115" s="197"/>
      <c r="CA115" s="197"/>
      <c r="CB115" s="197"/>
      <c r="CC115" s="197"/>
      <c r="CD115" s="197"/>
      <c r="CE115" s="197"/>
      <c r="CF115" s="197"/>
      <c r="CG115" s="197"/>
      <c r="CH115" s="197"/>
      <c r="CI115" s="197"/>
      <c r="CJ115" s="197"/>
      <c r="CK115" s="197"/>
      <c r="CL115" s="197"/>
      <c r="CM115" s="197"/>
      <c r="CN115" s="197"/>
      <c r="CO115" s="197"/>
      <c r="CP115" s="197"/>
      <c r="CQ115" s="197"/>
      <c r="CR115" s="197"/>
      <c r="CS115" s="197"/>
      <c r="CT115" s="197"/>
      <c r="CU115" s="197"/>
      <c r="CV115" s="197"/>
      <c r="CW115" s="197"/>
      <c r="CX115" s="197"/>
      <c r="CY115" s="197"/>
      <c r="CZ115" s="197"/>
      <c r="DA115" s="197"/>
      <c r="DB115" s="197"/>
      <c r="DC115" s="197"/>
      <c r="DD115" s="197"/>
      <c r="DE115" s="197"/>
      <c r="DF115" s="197"/>
      <c r="DG115" s="197"/>
      <c r="DH115" s="197"/>
      <c r="DI115" s="195"/>
      <c r="DJ115" s="195"/>
      <c r="DK115" s="195"/>
      <c r="DL115" s="195"/>
      <c r="DM115" s="195"/>
      <c r="DN115" s="195"/>
      <c r="DO115" s="195"/>
      <c r="DP115" s="195"/>
      <c r="DQ115" s="197"/>
      <c r="DR115" s="197"/>
      <c r="DS115" s="197"/>
      <c r="DT115" s="197"/>
      <c r="DU115" s="197"/>
      <c r="DV115" s="197"/>
      <c r="DW115" s="197"/>
      <c r="DX115" s="197"/>
      <c r="EB115" s="335"/>
      <c r="EH115" s="335"/>
      <c r="GP115" s="335"/>
    </row>
    <row r="116" spans="2:198" x14ac:dyDescent="0.25">
      <c r="B116" s="139"/>
      <c r="C116" s="140"/>
      <c r="D116" s="140"/>
      <c r="E116" s="144"/>
      <c r="F116" s="144"/>
      <c r="G116" s="144"/>
      <c r="H116" s="144"/>
      <c r="I116" s="145"/>
      <c r="J116" s="145"/>
      <c r="K116" s="145"/>
      <c r="L116" s="152"/>
      <c r="M116" s="144"/>
      <c r="N116" s="145"/>
      <c r="O116" s="145"/>
      <c r="P116" s="145"/>
      <c r="Q116" s="152"/>
      <c r="R116" s="335"/>
      <c r="S116" t="str">
        <f>S115</f>
        <v>Road operating speed (mean) - km/h</v>
      </c>
      <c r="T116" s="103" t="s">
        <v>340</v>
      </c>
      <c r="U116" t="s">
        <v>59</v>
      </c>
      <c r="V116">
        <f>'CycleRAP Model'!O$57</f>
        <v>42.47</v>
      </c>
      <c r="W116" s="158"/>
      <c r="X116" s="168"/>
      <c r="Y116" s="168"/>
      <c r="Z116" s="168"/>
      <c r="AA116" s="192"/>
      <c r="AB116" s="168"/>
      <c r="AC116" s="168"/>
      <c r="AD116" s="168"/>
      <c r="AE116" s="192"/>
      <c r="AF116" s="215"/>
      <c r="AG116" s="195"/>
      <c r="AH116" s="204"/>
      <c r="AI116" s="215"/>
      <c r="AJ116" s="204"/>
      <c r="AK116" s="204"/>
      <c r="AL116" s="204"/>
      <c r="AM116" s="195"/>
      <c r="AN116" s="195"/>
      <c r="AO116" s="195"/>
      <c r="AP116" s="204">
        <v>50</v>
      </c>
      <c r="AQ116" s="204">
        <v>50</v>
      </c>
      <c r="AR116" s="204">
        <v>50</v>
      </c>
      <c r="AS116" s="271">
        <v>30</v>
      </c>
      <c r="AT116" s="271">
        <v>30</v>
      </c>
      <c r="AU116" s="271">
        <v>30</v>
      </c>
      <c r="AV116" s="206"/>
      <c r="AW116" s="195"/>
      <c r="AX116" s="195"/>
      <c r="AY116" s="195"/>
      <c r="AZ116" s="204">
        <v>30</v>
      </c>
      <c r="BA116" s="195"/>
      <c r="BB116" s="277">
        <v>20</v>
      </c>
      <c r="BC116" s="195"/>
      <c r="BD116" s="195"/>
      <c r="BE116" s="195"/>
      <c r="BF116" s="195"/>
      <c r="BG116" s="195"/>
      <c r="BH116" s="195"/>
      <c r="BI116" s="195"/>
      <c r="BJ116" s="195"/>
      <c r="BK116" s="195"/>
      <c r="BL116" s="195"/>
      <c r="BM116" s="195"/>
      <c r="BN116" s="195"/>
      <c r="BO116" s="195"/>
      <c r="BP116" s="195"/>
      <c r="BQ116" s="195"/>
      <c r="BR116" s="195"/>
      <c r="BS116" s="195"/>
      <c r="BT116" s="195"/>
      <c r="BU116" s="195"/>
      <c r="BV116" s="195"/>
      <c r="BW116" s="195"/>
      <c r="BX116" s="195"/>
      <c r="BY116" s="195"/>
      <c r="BZ116" s="195"/>
      <c r="CA116" s="195"/>
      <c r="CB116" s="195"/>
      <c r="CC116" s="195"/>
      <c r="CD116" s="195"/>
      <c r="CE116" s="195"/>
      <c r="CF116" s="195"/>
      <c r="CG116" s="195"/>
      <c r="CH116" s="195"/>
      <c r="CI116" s="195"/>
      <c r="CJ116" s="195"/>
      <c r="CK116" s="195"/>
      <c r="CL116" s="195"/>
      <c r="CM116" s="195"/>
      <c r="CN116" s="195"/>
      <c r="CO116" s="195"/>
      <c r="CP116" s="195"/>
      <c r="CQ116" s="195"/>
      <c r="CR116" s="195"/>
      <c r="CS116" s="195"/>
      <c r="CT116" s="204">
        <v>30</v>
      </c>
      <c r="CU116" s="195"/>
      <c r="CV116" s="195"/>
      <c r="CW116" s="195"/>
      <c r="CX116" s="195"/>
      <c r="CY116" s="277">
        <v>20</v>
      </c>
      <c r="CZ116" s="195"/>
      <c r="DA116" s="204">
        <v>80</v>
      </c>
      <c r="DB116" s="277">
        <v>50</v>
      </c>
      <c r="DC116" s="195"/>
      <c r="DD116" s="195"/>
      <c r="DE116" s="195"/>
      <c r="DF116" s="195"/>
      <c r="DG116" s="195"/>
      <c r="DH116" s="195"/>
      <c r="DI116" s="265">
        <v>30</v>
      </c>
      <c r="DJ116" s="265">
        <v>30</v>
      </c>
      <c r="DK116" s="265">
        <v>30</v>
      </c>
      <c r="DL116" s="265">
        <v>30</v>
      </c>
      <c r="DM116" s="277">
        <v>20</v>
      </c>
      <c r="DN116" s="277">
        <v>20</v>
      </c>
      <c r="DO116" s="277">
        <v>20</v>
      </c>
      <c r="DP116" s="277">
        <v>20</v>
      </c>
      <c r="DQ116" s="195"/>
      <c r="DR116" s="195"/>
      <c r="DS116" s="195"/>
      <c r="DT116" s="195"/>
      <c r="DU116" s="195"/>
      <c r="DV116" s="195"/>
      <c r="DW116" s="195"/>
      <c r="DX116" s="195"/>
      <c r="EB116" s="335"/>
      <c r="EH116" s="335"/>
      <c r="GP116" s="335"/>
    </row>
    <row r="117" spans="2:198" x14ac:dyDescent="0.25">
      <c r="B117" s="139"/>
      <c r="C117" s="140"/>
      <c r="D117" s="140"/>
      <c r="E117" s="144"/>
      <c r="F117" s="144"/>
      <c r="G117" s="144"/>
      <c r="H117" s="144"/>
      <c r="I117" s="145"/>
      <c r="J117" s="145"/>
      <c r="K117" s="145"/>
      <c r="L117" s="152"/>
      <c r="M117" s="144"/>
      <c r="N117" s="145"/>
      <c r="O117" s="145"/>
      <c r="P117" s="145"/>
      <c r="Q117" s="152"/>
      <c r="R117" s="335"/>
      <c r="S117" t="str">
        <f>S116</f>
        <v>Road operating speed (mean) - km/h</v>
      </c>
      <c r="T117" s="103" t="s">
        <v>341</v>
      </c>
      <c r="U117" t="s">
        <v>342</v>
      </c>
      <c r="V117">
        <f>'CycleRAP Model'!O$57</f>
        <v>42.47</v>
      </c>
      <c r="W117" s="158"/>
      <c r="X117" s="168">
        <v>50</v>
      </c>
      <c r="Y117" s="168">
        <v>50</v>
      </c>
      <c r="Z117" s="168"/>
      <c r="AA117" s="193"/>
      <c r="AB117" s="271">
        <v>30</v>
      </c>
      <c r="AC117" s="271">
        <v>30</v>
      </c>
      <c r="AD117" s="168"/>
      <c r="AE117" s="193"/>
      <c r="AF117" s="215">
        <v>50</v>
      </c>
      <c r="AG117" s="195"/>
      <c r="AH117" s="204"/>
      <c r="AI117" s="279">
        <v>30</v>
      </c>
      <c r="AJ117" s="204"/>
      <c r="AK117" s="204"/>
      <c r="AL117" s="204"/>
      <c r="AM117" s="195"/>
      <c r="AN117" s="195"/>
      <c r="AO117" s="195"/>
      <c r="AP117" s="195"/>
      <c r="AQ117" s="195"/>
      <c r="AR117" s="195"/>
      <c r="AS117" s="195"/>
      <c r="AT117" s="195"/>
      <c r="AU117" s="195"/>
      <c r="AV117" s="206"/>
      <c r="AW117" s="195"/>
      <c r="AX117" s="195"/>
      <c r="AY117" s="195"/>
      <c r="AZ117" s="195"/>
      <c r="BA117" s="195"/>
      <c r="BB117" s="195"/>
      <c r="BC117" s="195"/>
      <c r="BD117" s="201">
        <v>50</v>
      </c>
      <c r="BE117" s="195"/>
      <c r="BF117" s="195"/>
      <c r="BG117" s="270">
        <v>30</v>
      </c>
      <c r="BH117" s="195"/>
      <c r="BI117" s="195"/>
      <c r="BJ117" s="195"/>
      <c r="BK117" s="195"/>
      <c r="BL117" s="195"/>
      <c r="BM117" s="195"/>
      <c r="BN117" s="195"/>
      <c r="BO117" s="195"/>
      <c r="BP117" s="195"/>
      <c r="BQ117" s="195"/>
      <c r="BR117" s="195"/>
      <c r="BS117" s="195"/>
      <c r="BT117" s="195"/>
      <c r="BU117" s="195"/>
      <c r="BV117" s="195"/>
      <c r="BW117" s="195"/>
      <c r="BX117" s="195"/>
      <c r="BY117" s="195"/>
      <c r="BZ117" s="195"/>
      <c r="CA117" s="195"/>
      <c r="CB117" s="195"/>
      <c r="CC117" s="195"/>
      <c r="CD117" s="195"/>
      <c r="CE117" s="195"/>
      <c r="CF117" s="195"/>
      <c r="CG117" s="195"/>
      <c r="CH117" s="195"/>
      <c r="CI117" s="195"/>
      <c r="CJ117" s="195"/>
      <c r="CK117" s="195"/>
      <c r="CL117" s="195"/>
      <c r="CM117" s="195"/>
      <c r="CN117" s="195"/>
      <c r="CO117" s="195"/>
      <c r="CP117" s="195"/>
      <c r="CQ117" s="195"/>
      <c r="CR117" s="195"/>
      <c r="CS117" s="195"/>
      <c r="CT117" s="195"/>
      <c r="CU117" s="195"/>
      <c r="CV117" s="195"/>
      <c r="CW117" s="195"/>
      <c r="CX117" s="195"/>
      <c r="CY117" s="195"/>
      <c r="CZ117" s="195"/>
      <c r="DA117" s="195"/>
      <c r="DB117" s="195"/>
      <c r="DC117" s="195"/>
      <c r="DD117" s="195"/>
      <c r="DE117" s="195"/>
      <c r="DF117" s="195"/>
      <c r="DG117" s="195"/>
      <c r="DH117" s="195"/>
      <c r="DI117" s="204">
        <v>50</v>
      </c>
      <c r="DJ117" s="204">
        <v>50</v>
      </c>
      <c r="DK117" s="204">
        <v>50</v>
      </c>
      <c r="DL117" s="204">
        <v>50</v>
      </c>
      <c r="DM117" s="277">
        <v>30</v>
      </c>
      <c r="DN117" s="277">
        <v>30</v>
      </c>
      <c r="DO117" s="277">
        <v>30</v>
      </c>
      <c r="DP117" s="277">
        <v>30</v>
      </c>
      <c r="DQ117" s="195"/>
      <c r="DR117" s="195"/>
      <c r="DS117" s="195"/>
      <c r="DT117" s="195"/>
      <c r="DU117" s="195"/>
      <c r="DV117" s="195"/>
      <c r="DW117" s="195"/>
      <c r="DX117" s="195"/>
      <c r="EB117" s="335"/>
      <c r="EH117" s="335"/>
      <c r="GP117" s="335"/>
    </row>
    <row r="118" spans="2:198" x14ac:dyDescent="0.25">
      <c r="B118" s="139"/>
      <c r="C118" s="140"/>
      <c r="D118" s="140"/>
      <c r="E118" s="144"/>
      <c r="F118" s="144"/>
      <c r="G118" s="144"/>
      <c r="H118" s="144"/>
      <c r="I118" s="145"/>
      <c r="J118" s="145"/>
      <c r="K118" s="145"/>
      <c r="L118" s="152"/>
      <c r="M118" s="144"/>
      <c r="N118" s="145"/>
      <c r="O118" s="145"/>
      <c r="P118" s="145"/>
      <c r="Q118" s="152"/>
      <c r="R118" s="335"/>
      <c r="S118" s="14" t="str">
        <f>S117</f>
        <v>Road operating speed (mean) - km/h</v>
      </c>
      <c r="T118" s="179" t="s">
        <v>343</v>
      </c>
      <c r="U118" s="14" t="s">
        <v>344</v>
      </c>
      <c r="V118">
        <f>'CycleRAP Model'!O$57</f>
        <v>42.47</v>
      </c>
      <c r="W118" s="180"/>
      <c r="X118" s="177"/>
      <c r="Y118" s="177"/>
      <c r="Z118" s="194">
        <v>50</v>
      </c>
      <c r="AA118" s="194">
        <v>50</v>
      </c>
      <c r="AB118" s="177"/>
      <c r="AC118" s="177"/>
      <c r="AD118" s="281">
        <v>30</v>
      </c>
      <c r="AE118" s="281">
        <v>30</v>
      </c>
      <c r="AF118" s="216"/>
      <c r="AG118" s="198"/>
      <c r="AH118" s="205"/>
      <c r="AI118" s="216"/>
      <c r="AJ118" s="205"/>
      <c r="AK118" s="205"/>
      <c r="AL118" s="205"/>
      <c r="AM118" s="205">
        <v>30</v>
      </c>
      <c r="AN118" s="278">
        <v>20</v>
      </c>
      <c r="AO118" s="198"/>
      <c r="AP118" s="198"/>
      <c r="AQ118" s="198"/>
      <c r="AR118" s="198"/>
      <c r="AS118" s="198"/>
      <c r="AT118" s="198"/>
      <c r="AU118" s="198"/>
      <c r="AV118" s="209"/>
      <c r="AW118" s="198"/>
      <c r="AX118" s="198"/>
      <c r="AY118" s="198"/>
      <c r="AZ118" s="198"/>
      <c r="BA118" s="198"/>
      <c r="BB118" s="198"/>
      <c r="BC118" s="198"/>
      <c r="BD118" s="198"/>
      <c r="BE118" s="198"/>
      <c r="BF118" s="198"/>
      <c r="BG118" s="198"/>
      <c r="BH118" s="198"/>
      <c r="BI118" s="198"/>
      <c r="BJ118" s="198"/>
      <c r="BK118" s="198"/>
      <c r="BL118" s="198"/>
      <c r="BM118" s="198"/>
      <c r="BN118" s="198"/>
      <c r="BO118" s="198"/>
      <c r="BP118" s="198"/>
      <c r="BQ118" s="198"/>
      <c r="BR118" s="198"/>
      <c r="BS118" s="198"/>
      <c r="BT118" s="198"/>
      <c r="BU118" s="198"/>
      <c r="BV118" s="198"/>
      <c r="BW118" s="198"/>
      <c r="BX118" s="198"/>
      <c r="BY118" s="198"/>
      <c r="BZ118" s="198"/>
      <c r="CA118" s="198"/>
      <c r="CB118" s="198"/>
      <c r="CC118" s="198"/>
      <c r="CD118" s="198"/>
      <c r="CE118" s="198"/>
      <c r="CF118" s="198"/>
      <c r="CG118" s="198"/>
      <c r="CH118" s="198"/>
      <c r="CI118" s="198"/>
      <c r="CJ118" s="198"/>
      <c r="CK118" s="198"/>
      <c r="CL118" s="198"/>
      <c r="CM118" s="198"/>
      <c r="CN118" s="198"/>
      <c r="CO118" s="198"/>
      <c r="CP118" s="198"/>
      <c r="CQ118" s="198"/>
      <c r="CR118" s="198"/>
      <c r="CS118" s="198"/>
      <c r="CT118" s="198"/>
      <c r="CU118" s="198"/>
      <c r="CV118" s="198"/>
      <c r="CW118" s="198"/>
      <c r="CX118" s="198"/>
      <c r="CY118" s="198"/>
      <c r="CZ118" s="198"/>
      <c r="DA118" s="198"/>
      <c r="DB118" s="198"/>
      <c r="DC118" s="198"/>
      <c r="DD118" s="198"/>
      <c r="DE118" s="198"/>
      <c r="DF118" s="198"/>
      <c r="DG118" s="198"/>
      <c r="DH118" s="198"/>
      <c r="DI118" s="198"/>
      <c r="DJ118" s="198"/>
      <c r="DK118" s="198"/>
      <c r="DL118" s="198"/>
      <c r="DM118" s="198"/>
      <c r="DN118" s="198"/>
      <c r="DO118" s="198"/>
      <c r="DP118" s="198"/>
      <c r="DQ118" s="198"/>
      <c r="DR118" s="198"/>
      <c r="DS118" s="198"/>
      <c r="DT118" s="198"/>
      <c r="DU118" s="198"/>
      <c r="DV118" s="198"/>
      <c r="DW118" s="198"/>
      <c r="DX118" s="198"/>
    </row>
    <row r="119" spans="2:198" x14ac:dyDescent="0.25">
      <c r="B119" s="139"/>
      <c r="C119" s="140"/>
      <c r="D119" s="140"/>
      <c r="E119" s="144"/>
      <c r="F119" s="144"/>
      <c r="G119" s="144"/>
      <c r="H119" s="144"/>
      <c r="I119" s="145"/>
      <c r="J119" s="145"/>
      <c r="K119" s="145"/>
      <c r="L119" s="152"/>
      <c r="M119" s="144"/>
      <c r="N119" s="145"/>
      <c r="O119" s="145"/>
      <c r="P119" s="145"/>
      <c r="Q119" s="152"/>
      <c r="R119" s="335"/>
      <c r="S119" s="4" t="s">
        <v>69</v>
      </c>
      <c r="T119" s="159" t="s">
        <v>258</v>
      </c>
      <c r="U119" s="4">
        <v>1</v>
      </c>
      <c r="V119" s="14">
        <f>'CycleRAP Model'!O$58</f>
        <v>0</v>
      </c>
      <c r="W119" s="162" t="b">
        <f t="shared" ref="W119:W120" si="59">U119=V119</f>
        <v>0</v>
      </c>
      <c r="X119" s="271" t="b">
        <v>1</v>
      </c>
      <c r="Y119" s="271" t="b">
        <v>1</v>
      </c>
      <c r="Z119" s="271" t="b">
        <v>1</v>
      </c>
      <c r="AA119" s="271" t="b">
        <v>1</v>
      </c>
      <c r="AB119" s="166"/>
      <c r="AC119" s="166"/>
      <c r="AD119" s="166"/>
      <c r="AE119" s="166"/>
      <c r="AF119" s="271" t="b">
        <v>1</v>
      </c>
      <c r="AG119" s="271" t="b">
        <v>1</v>
      </c>
      <c r="AH119" s="271" t="b">
        <v>1</v>
      </c>
      <c r="AI119" s="166"/>
      <c r="AJ119" s="166"/>
      <c r="AK119" s="271" t="b">
        <v>1</v>
      </c>
      <c r="AL119" s="166"/>
      <c r="AM119" s="271" t="b">
        <v>1</v>
      </c>
      <c r="AN119" s="166"/>
      <c r="AO119" s="166"/>
      <c r="AP119" s="271" t="b">
        <v>1</v>
      </c>
      <c r="AQ119" s="271" t="b">
        <v>1</v>
      </c>
      <c r="AR119" s="271" t="b">
        <v>1</v>
      </c>
      <c r="AS119" s="166"/>
      <c r="AT119" s="166"/>
      <c r="AU119" s="166"/>
      <c r="AV119" s="166"/>
      <c r="AW119" s="166"/>
      <c r="AX119" s="166"/>
      <c r="AY119" s="166"/>
      <c r="AZ119" s="271" t="b">
        <v>1</v>
      </c>
      <c r="BA119" s="166"/>
      <c r="BB119" s="166"/>
      <c r="BC119" s="166"/>
      <c r="BD119" s="271" t="b">
        <v>1</v>
      </c>
      <c r="BE119" s="166"/>
      <c r="BF119" s="166"/>
      <c r="BG119" s="166"/>
      <c r="BH119" s="166"/>
      <c r="BI119" s="166"/>
      <c r="BJ119" s="166"/>
      <c r="BK119" s="166"/>
      <c r="BL119" s="166"/>
      <c r="BM119" s="166"/>
      <c r="BN119" s="166"/>
      <c r="BO119" s="166"/>
      <c r="BP119" s="166"/>
      <c r="BQ119" s="166"/>
      <c r="BR119" s="166"/>
      <c r="BS119" s="166"/>
      <c r="BT119" s="166"/>
      <c r="BU119" s="166"/>
      <c r="BV119" s="166"/>
      <c r="BW119" s="166"/>
      <c r="BX119" s="166"/>
      <c r="BY119" s="166"/>
      <c r="BZ119" s="166"/>
      <c r="CA119" s="166"/>
      <c r="CB119" s="166"/>
      <c r="CC119" s="166"/>
      <c r="CD119" s="166"/>
      <c r="CE119" s="166"/>
      <c r="CF119" s="166"/>
      <c r="CG119" s="166"/>
      <c r="CH119" s="166"/>
      <c r="CI119" s="166"/>
      <c r="CJ119" s="166"/>
      <c r="CK119" s="166"/>
      <c r="CL119" s="166"/>
      <c r="CM119" s="166"/>
      <c r="CN119" s="166"/>
      <c r="CO119" s="166"/>
      <c r="CP119" s="166"/>
      <c r="CQ119" s="166"/>
      <c r="CR119" s="166"/>
      <c r="CS119" s="166"/>
      <c r="CT119" s="271" t="b">
        <v>1</v>
      </c>
      <c r="CU119" s="166"/>
      <c r="CV119" s="166"/>
      <c r="CW119" s="166"/>
      <c r="CX119" s="166"/>
      <c r="CY119" s="166"/>
      <c r="CZ119" s="166"/>
      <c r="DA119" s="271" t="b">
        <v>1</v>
      </c>
      <c r="DB119" s="166"/>
      <c r="DC119" s="166"/>
      <c r="DD119" s="166"/>
      <c r="DE119" s="166"/>
      <c r="DF119" s="166"/>
      <c r="DG119" s="166"/>
      <c r="DH119" s="166"/>
      <c r="DI119" s="271" t="b">
        <v>1</v>
      </c>
      <c r="DJ119" s="271" t="b">
        <v>1</v>
      </c>
      <c r="DK119" s="271" t="b">
        <v>1</v>
      </c>
      <c r="DL119" s="271" t="b">
        <v>1</v>
      </c>
      <c r="DM119" s="166"/>
      <c r="DN119" s="166"/>
      <c r="DO119" s="166"/>
      <c r="DP119" s="166"/>
      <c r="DQ119" s="166"/>
      <c r="DR119" s="166"/>
      <c r="DS119" s="166"/>
      <c r="DT119" s="166"/>
      <c r="DU119" s="166"/>
      <c r="DV119" s="166"/>
      <c r="DW119" s="166"/>
      <c r="DX119" s="166"/>
    </row>
    <row r="120" spans="2:198" x14ac:dyDescent="0.25">
      <c r="B120" s="139"/>
      <c r="C120" s="140"/>
      <c r="D120" s="140"/>
      <c r="E120" s="144"/>
      <c r="F120" s="144"/>
      <c r="G120" s="144"/>
      <c r="H120" s="144"/>
      <c r="I120" s="144"/>
      <c r="J120" s="144"/>
      <c r="K120" s="144"/>
      <c r="L120" s="153"/>
      <c r="M120" s="144"/>
      <c r="N120" s="144"/>
      <c r="O120" s="144"/>
      <c r="P120" s="144"/>
      <c r="Q120" s="153"/>
      <c r="R120" s="335"/>
      <c r="S120" s="14" t="s">
        <v>69</v>
      </c>
      <c r="T120" s="179" t="s">
        <v>70</v>
      </c>
      <c r="U120" s="14">
        <v>2</v>
      </c>
      <c r="V120" s="14">
        <f>'CycleRAP Model'!O$58</f>
        <v>0</v>
      </c>
      <c r="W120" s="158" t="b">
        <f t="shared" si="59"/>
        <v>0</v>
      </c>
      <c r="X120" s="177"/>
      <c r="Y120" s="177"/>
      <c r="Z120" s="177"/>
      <c r="AA120" s="177"/>
      <c r="AB120" s="272" t="b">
        <v>1</v>
      </c>
      <c r="AC120" s="272" t="b">
        <v>1</v>
      </c>
      <c r="AD120" s="272" t="b">
        <v>1</v>
      </c>
      <c r="AE120" s="272" t="b">
        <v>1</v>
      </c>
      <c r="AF120" s="177"/>
      <c r="AG120" s="177"/>
      <c r="AH120" s="177"/>
      <c r="AI120" s="272" t="b">
        <v>1</v>
      </c>
      <c r="AJ120" s="272" t="b">
        <v>1</v>
      </c>
      <c r="AK120" s="177"/>
      <c r="AL120" s="272" t="b">
        <v>1</v>
      </c>
      <c r="AM120" s="177"/>
      <c r="AN120" s="272" t="b">
        <v>1</v>
      </c>
      <c r="AO120" s="177"/>
      <c r="AP120" s="177"/>
      <c r="AQ120" s="177"/>
      <c r="AR120" s="177"/>
      <c r="AS120" s="272" t="b">
        <v>1</v>
      </c>
      <c r="AT120" s="272" t="b">
        <v>1</v>
      </c>
      <c r="AU120" s="272" t="b">
        <v>1</v>
      </c>
      <c r="AV120" s="177"/>
      <c r="AW120" s="177"/>
      <c r="AX120" s="177"/>
      <c r="AY120" s="177"/>
      <c r="AZ120" s="177"/>
      <c r="BA120" s="177"/>
      <c r="BB120" s="272" t="b">
        <v>1</v>
      </c>
      <c r="BC120" s="177"/>
      <c r="BD120" s="177"/>
      <c r="BE120" s="177"/>
      <c r="BF120" s="177"/>
      <c r="BG120" s="272" t="b">
        <v>1</v>
      </c>
      <c r="BH120" s="177"/>
      <c r="BI120" s="177"/>
      <c r="BJ120" s="177"/>
      <c r="BK120" s="177"/>
      <c r="BL120" s="177"/>
      <c r="BM120" s="177"/>
      <c r="BN120" s="177"/>
      <c r="BO120" s="177"/>
      <c r="BP120" s="177"/>
      <c r="BQ120" s="177"/>
      <c r="BR120" s="177"/>
      <c r="BS120" s="177"/>
      <c r="BT120" s="177"/>
      <c r="BU120" s="177"/>
      <c r="BV120" s="177"/>
      <c r="BW120" s="177"/>
      <c r="BX120" s="177"/>
      <c r="BY120" s="177"/>
      <c r="BZ120" s="177"/>
      <c r="CA120" s="177"/>
      <c r="CB120" s="177"/>
      <c r="CC120" s="177"/>
      <c r="CD120" s="177"/>
      <c r="CE120" s="177"/>
      <c r="CF120" s="177"/>
      <c r="CG120" s="177"/>
      <c r="CH120" s="177"/>
      <c r="CI120" s="177"/>
      <c r="CJ120" s="177"/>
      <c r="CK120" s="177"/>
      <c r="CL120" s="177"/>
      <c r="CM120" s="177"/>
      <c r="CN120" s="177"/>
      <c r="CO120" s="177"/>
      <c r="CP120" s="177"/>
      <c r="CQ120" s="177"/>
      <c r="CR120" s="177"/>
      <c r="CS120" s="177"/>
      <c r="CT120" s="177"/>
      <c r="CU120" s="177"/>
      <c r="CV120" s="177"/>
      <c r="CW120" s="177"/>
      <c r="CX120" s="177"/>
      <c r="CY120" s="272" t="b">
        <v>1</v>
      </c>
      <c r="CZ120" s="177"/>
      <c r="DA120" s="177"/>
      <c r="DB120" s="272" t="b">
        <v>1</v>
      </c>
      <c r="DC120" s="177"/>
      <c r="DD120" s="177"/>
      <c r="DE120" s="177"/>
      <c r="DF120" s="177"/>
      <c r="DG120" s="177"/>
      <c r="DH120" s="177"/>
      <c r="DI120" s="177"/>
      <c r="DJ120" s="177"/>
      <c r="DK120" s="177"/>
      <c r="DL120" s="177"/>
      <c r="DM120" s="272" t="b">
        <v>1</v>
      </c>
      <c r="DN120" s="272" t="b">
        <v>1</v>
      </c>
      <c r="DO120" s="272" t="b">
        <v>1</v>
      </c>
      <c r="DP120" s="272" t="b">
        <v>1</v>
      </c>
      <c r="DQ120" s="177"/>
      <c r="DR120" s="177"/>
      <c r="DS120" s="177"/>
      <c r="DT120" s="177"/>
      <c r="DU120" s="177"/>
      <c r="DV120" s="177"/>
      <c r="DW120" s="177"/>
      <c r="DX120" s="177"/>
    </row>
    <row r="121" spans="2:198" x14ac:dyDescent="0.25">
      <c r="B121" s="139"/>
      <c r="C121" s="140"/>
      <c r="D121" s="140"/>
      <c r="E121" s="144"/>
      <c r="F121" s="144"/>
      <c r="G121" s="144"/>
      <c r="H121" s="144"/>
      <c r="I121" s="144"/>
      <c r="J121" s="144"/>
      <c r="K121" s="144"/>
      <c r="L121" s="153"/>
      <c r="M121" s="144"/>
      <c r="N121" s="144"/>
      <c r="O121" s="144"/>
      <c r="P121" s="144"/>
      <c r="Q121" s="153"/>
    </row>
    <row r="122" spans="2:198" x14ac:dyDescent="0.25">
      <c r="B122" s="139"/>
      <c r="C122" s="140"/>
      <c r="D122" s="140"/>
      <c r="E122" s="144"/>
      <c r="F122" s="144"/>
      <c r="G122" s="144"/>
      <c r="H122" s="144"/>
      <c r="I122" s="144"/>
      <c r="J122" s="144"/>
      <c r="K122" s="144"/>
      <c r="L122" s="153"/>
      <c r="M122" s="144"/>
      <c r="N122" s="144"/>
      <c r="O122" s="144"/>
      <c r="P122" s="144"/>
      <c r="Q122" s="153"/>
    </row>
    <row r="123" spans="2:198" x14ac:dyDescent="0.25">
      <c r="B123" s="139"/>
      <c r="C123" s="140"/>
      <c r="D123" s="140"/>
      <c r="E123" s="144"/>
      <c r="F123" s="144"/>
      <c r="G123" s="144"/>
      <c r="H123" s="144"/>
      <c r="I123" s="144"/>
      <c r="J123" s="144"/>
      <c r="K123" s="144"/>
      <c r="L123" s="153"/>
      <c r="M123" s="144"/>
      <c r="N123" s="144"/>
      <c r="O123" s="144"/>
      <c r="P123" s="144"/>
      <c r="Q123" s="153"/>
    </row>
    <row r="124" spans="2:198" x14ac:dyDescent="0.25">
      <c r="B124" s="139"/>
      <c r="C124" s="140"/>
      <c r="D124" s="140"/>
      <c r="E124" s="144"/>
      <c r="F124" s="144"/>
      <c r="G124" s="144"/>
      <c r="H124" s="144"/>
      <c r="I124" s="144"/>
      <c r="J124" s="144"/>
      <c r="K124" s="144"/>
      <c r="L124" s="153"/>
      <c r="M124" s="144"/>
      <c r="N124" s="144"/>
      <c r="O124" s="144"/>
      <c r="P124" s="144"/>
      <c r="Q124" s="153"/>
    </row>
    <row r="125" spans="2:198" x14ac:dyDescent="0.25">
      <c r="B125" s="139"/>
      <c r="C125" s="140"/>
      <c r="D125" s="140"/>
      <c r="E125" s="144"/>
      <c r="F125" s="144"/>
      <c r="G125" s="144"/>
      <c r="H125" s="144"/>
      <c r="I125" s="144"/>
      <c r="J125" s="144"/>
      <c r="K125" s="144"/>
      <c r="L125" s="153"/>
      <c r="M125" s="144"/>
      <c r="N125" s="144"/>
      <c r="O125" s="144"/>
      <c r="P125" s="144"/>
      <c r="Q125" s="153"/>
    </row>
    <row r="126" spans="2:198" x14ac:dyDescent="0.25">
      <c r="B126" s="139"/>
      <c r="C126" s="140"/>
      <c r="D126" s="140"/>
      <c r="E126" s="144"/>
      <c r="F126" s="144"/>
      <c r="G126" s="144"/>
      <c r="H126" s="144"/>
      <c r="I126" s="144"/>
      <c r="J126" s="144"/>
      <c r="K126" s="144"/>
      <c r="L126" s="153"/>
      <c r="M126" s="144"/>
      <c r="N126" s="144"/>
      <c r="O126" s="144"/>
      <c r="P126" s="144"/>
      <c r="Q126" s="153"/>
    </row>
    <row r="127" spans="2:198" x14ac:dyDescent="0.25">
      <c r="C127" s="140"/>
      <c r="D127" s="140"/>
      <c r="E127" s="144"/>
      <c r="F127" s="144"/>
      <c r="G127" s="144"/>
      <c r="H127" s="144"/>
      <c r="M127" s="144"/>
    </row>
    <row r="128" spans="2:198" x14ac:dyDescent="0.25">
      <c r="C128" s="140"/>
      <c r="D128" s="140"/>
      <c r="E128" s="144"/>
      <c r="F128" s="144"/>
      <c r="G128" s="144"/>
      <c r="H128" s="144"/>
      <c r="M128" s="144"/>
    </row>
    <row r="129" spans="3:13" x14ac:dyDescent="0.25">
      <c r="C129" s="140"/>
      <c r="D129" s="140"/>
      <c r="E129" s="144"/>
      <c r="F129" s="144"/>
      <c r="G129" s="144"/>
      <c r="H129" s="144"/>
      <c r="M129" s="144"/>
    </row>
    <row r="130" spans="3:13" x14ac:dyDescent="0.25">
      <c r="C130" s="140"/>
      <c r="D130" s="140"/>
      <c r="E130" s="144"/>
      <c r="F130" s="144"/>
      <c r="G130" s="144"/>
      <c r="H130" s="144"/>
      <c r="M130" s="144"/>
    </row>
    <row r="131" spans="3:13" x14ac:dyDescent="0.25">
      <c r="C131" s="140"/>
      <c r="D131" s="140"/>
      <c r="E131" s="144"/>
      <c r="F131" s="144"/>
      <c r="G131" s="144"/>
      <c r="H131" s="144"/>
      <c r="M131" s="144"/>
    </row>
    <row r="132" spans="3:13" x14ac:dyDescent="0.25">
      <c r="C132" s="140"/>
      <c r="D132" s="140"/>
      <c r="E132" s="144"/>
      <c r="F132" s="144"/>
      <c r="G132" s="144"/>
      <c r="H132" s="144"/>
      <c r="M132" s="144"/>
    </row>
    <row r="133" spans="3:13" x14ac:dyDescent="0.25">
      <c r="C133" s="140"/>
      <c r="D133" s="140"/>
      <c r="E133" s="144"/>
      <c r="F133" s="144"/>
      <c r="G133" s="144"/>
    </row>
  </sheetData>
  <sheetProtection algorithmName="SHA-512" hashValue="82OeVaxON+Sy2u/EVuFVN2uR0YMp/fn0vxZNxLUlngqVFniZ4H3z2WThlIAW0fnbcZPyvs1DJmclLNsrNLecGw==" saltValue="vd6gi6G8AxgbjZit0ml4Gw==" spinCount="100000" sheet="1" objects="1" scenarios="1"/>
  <sortState xmlns:xlrd2="http://schemas.microsoft.com/office/spreadsheetml/2017/richdata2" ref="GQ2:JB495">
    <sortCondition ref="JA1"/>
  </sortState>
  <mergeCells count="5">
    <mergeCell ref="A1:A41"/>
    <mergeCell ref="EB1:EB117"/>
    <mergeCell ref="EH1:EH117"/>
    <mergeCell ref="GP1:GP117"/>
    <mergeCell ref="R1:R120"/>
  </mergeCells>
  <conditionalFormatting sqref="K7 F7:F15 F17:F25 F29:F31 B8:E8 I7 S60:U60 S62:U62 S64:U64 S66:U66 S68:U68 S70:U70 S72:U72 S74:U74 S76:U76 S80:U80 S82:U82 S84:U84 S86:U86 S88:U88 S90:U90 S94:U94 S98:U99 S107:U107 S92:U92 S96:U96 S78:U78 W9 S2:AA4 S101:U101 S103:U103 S105:U105 S113:U113 S107:S111 U109:U111 V108:W108 W60:X60 W62:X62 S61:X61 W64:X64 S63:X63 W66:X66 S65:X65 W68:X68 S67:X67 W70:X70 S69:X69 W72:X72 S71:X71 W74:X74 S73:X73 S75:X75 W80:X80 S77:X77 W82:X82 S81:X81 W84:X84 S83:X83 W86:X86 S85:X85 W94:X94 S91:X91 W98:X99 S95:X95 W101:X101 S100:X100 W103:X103 S102:X102 W105:X105 S104:X104 S106:X106 S114:X114 S93:X93 W92:X92 S97:X97 W96:X96 S79:X79 W78:X78 W107:X107 X108:X111 X115:X118 S5:W8 EH1:GP1 S87:AA87 S89:AA89 W90:AA90 W88:AA88 AG112:AG113 Y114:AA118 S112:AA112 W113:AA113 Y77:AA86 W76:AA76 S115:S120 U116:U120 R121:AA1048576 AB112:AE118 W119:AA120 EB1:ED1 V115:W115 F16:G16 G8:H8 A1:AA1 H9 K8:L9 P7:Q7 AF112 AF113:AG118 Y91:AG111 K2 F2:F4 I2 P2:Q2 K3:L5 F26:G28 C27:G27 M8:Q31 H10:L31 A2:D5 B6:D7 F5:G6 B32:Q1048576 B6:G6 K6:Q6 B9:C31 JC1:XFD117 GQ2:JB117 A6:A1048576 AH91:AH118 AB119:AH1048576 DZ10:EA1048576 DZ1:EA4 AB1:DX4 EE29:EE31 EC2:ED31 EI2:GO117 EC32:EE117 EB118:EE1048576 EH118:XFD1048576 EF64:EG1048576 S10:X59 Y10:AA75 AB10:AH90 AI10:DX1048576">
    <cfRule type="containsBlanks" dxfId="20" priority="52">
      <formula>LEN(TRIM(A1))=0</formula>
    </cfRule>
  </conditionalFormatting>
  <conditionalFormatting sqref="V60 V62 V64 V66 V68 V70 V72 V74 V76 V80 V82 V84 V86 V88 V90 V94 V98:V99 V101 V103 V105 V107 V113">
    <cfRule type="containsBlanks" dxfId="19" priority="50">
      <formula>LEN(TRIM(V60))=0</formula>
    </cfRule>
  </conditionalFormatting>
  <conditionalFormatting sqref="V92">
    <cfRule type="containsBlanks" dxfId="18" priority="49">
      <formula>LEN(TRIM(V92))=0</formula>
    </cfRule>
  </conditionalFormatting>
  <conditionalFormatting sqref="V96">
    <cfRule type="containsBlanks" dxfId="17" priority="48">
      <formula>LEN(TRIM(V96))=0</formula>
    </cfRule>
  </conditionalFormatting>
  <conditionalFormatting sqref="V78">
    <cfRule type="containsBlanks" dxfId="16" priority="47">
      <formula>LEN(TRIM(V78))=0</formula>
    </cfRule>
  </conditionalFormatting>
  <conditionalFormatting sqref="V119:V120">
    <cfRule type="containsBlanks" dxfId="15" priority="46">
      <formula>LEN(TRIM(V119))=0</formula>
    </cfRule>
  </conditionalFormatting>
  <conditionalFormatting sqref="V109:V111">
    <cfRule type="containsBlanks" dxfId="14" priority="45">
      <formula>LEN(TRIM(V109))=0</formula>
    </cfRule>
  </conditionalFormatting>
  <conditionalFormatting sqref="W109:W111">
    <cfRule type="containsBlanks" dxfId="13" priority="44">
      <formula>LEN(TRIM(W109))=0</formula>
    </cfRule>
  </conditionalFormatting>
  <conditionalFormatting sqref="W116:W118">
    <cfRule type="containsBlanks" dxfId="12" priority="43">
      <formula>LEN(TRIM(W116))=0</formula>
    </cfRule>
  </conditionalFormatting>
  <conditionalFormatting sqref="GQ1:IS1 IU1:IV1">
    <cfRule type="containsBlanks" dxfId="11" priority="12">
      <formula>LEN(TRIM(GQ1))=0</formula>
    </cfRule>
  </conditionalFormatting>
  <conditionalFormatting sqref="IY1:JA1">
    <cfRule type="containsText" dxfId="10" priority="8" operator="containsText" text="Extreme">
      <formula>NOT(ISERROR(SEARCH("Extreme",IY1)))</formula>
    </cfRule>
    <cfRule type="containsText" dxfId="9" priority="9" operator="containsText" text="Medium">
      <formula>NOT(ISERROR(SEARCH("Medium",IY1)))</formula>
    </cfRule>
    <cfRule type="containsText" dxfId="8" priority="10" operator="containsText" text="High">
      <formula>NOT(ISERROR(SEARCH("High",IY1)))</formula>
    </cfRule>
    <cfRule type="containsText" dxfId="7" priority="11" operator="containsText" text="Low">
      <formula>NOT(ISERROR(SEARCH("Low",IY1)))</formula>
    </cfRule>
  </conditionalFormatting>
  <conditionalFormatting sqref="JB1">
    <cfRule type="containsText" dxfId="6" priority="4" operator="containsText" text="Extreme">
      <formula>NOT(ISERROR(SEARCH("Extreme",JB1)))</formula>
    </cfRule>
    <cfRule type="containsText" dxfId="5" priority="5" operator="containsText" text="Medium">
      <formula>NOT(ISERROR(SEARCH("Medium",JB1)))</formula>
    </cfRule>
    <cfRule type="containsText" dxfId="4" priority="6" operator="containsText" text="High">
      <formula>NOT(ISERROR(SEARCH("High",JB1)))</formula>
    </cfRule>
    <cfRule type="containsText" dxfId="3" priority="7" operator="containsText" text="Low">
      <formula>NOT(ISERROR(SEARCH("Low",JB1)))</formula>
    </cfRule>
  </conditionalFormatting>
  <conditionalFormatting sqref="V116:V118">
    <cfRule type="containsBlanks" dxfId="2" priority="3">
      <formula>LEN(TRIM(V116))=0</formula>
    </cfRule>
  </conditionalFormatting>
  <conditionalFormatting sqref="IT1">
    <cfRule type="containsBlanks" dxfId="1" priority="2">
      <formula>LEN(TRIM(IT1))=0</formula>
    </cfRule>
  </conditionalFormatting>
  <conditionalFormatting sqref="M3:Q5">
    <cfRule type="containsBlanks" dxfId="0" priority="1">
      <formula>LEN(TRIM(M3))=0</formula>
    </cfRule>
  </conditionalFormatting>
  <pageMargins left="0.511811024" right="0.511811024" top="0.78740157499999996" bottom="0.78740157499999996" header="0.31496062000000002" footer="0.31496062000000002"/>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EA89"/>
  <sheetViews>
    <sheetView topLeftCell="AF1" zoomScale="108" zoomScaleNormal="108" workbookViewId="0">
      <selection activeCell="BG19" sqref="BG19"/>
    </sheetView>
  </sheetViews>
  <sheetFormatPr defaultColWidth="5" defaultRowHeight="13.8" x14ac:dyDescent="0.3"/>
  <cols>
    <col min="1" max="1" width="5.85546875" style="15" customWidth="1"/>
    <col min="2" max="2" width="3.85546875" style="15" bestFit="1" customWidth="1"/>
    <col min="3" max="3" width="20.42578125" style="15" bestFit="1" customWidth="1"/>
    <col min="4" max="14" width="3.85546875" style="15" bestFit="1" customWidth="1"/>
    <col min="15" max="15" width="3.85546875" style="15" customWidth="1"/>
    <col min="16" max="20" width="3.85546875" style="15" bestFit="1" customWidth="1"/>
    <col min="21" max="22" width="3.85546875" style="15" customWidth="1"/>
    <col min="23" max="50" width="3.85546875" style="15" bestFit="1" customWidth="1"/>
    <col min="51" max="51" width="10" style="15" bestFit="1" customWidth="1"/>
    <col min="52" max="52" width="6.42578125" style="15" bestFit="1" customWidth="1"/>
    <col min="53" max="56" width="3.85546875" style="15" bestFit="1" customWidth="1"/>
    <col min="57" max="58" width="3.85546875" style="15" customWidth="1"/>
    <col min="59" max="59" width="6" style="15" bestFit="1" customWidth="1"/>
    <col min="60" max="60" width="6" style="15" customWidth="1"/>
    <col min="61" max="61" width="6" style="15" bestFit="1" customWidth="1"/>
    <col min="62" max="62" width="6" style="15" customWidth="1"/>
    <col min="63" max="63" width="6" style="15" bestFit="1" customWidth="1"/>
    <col min="64" max="64" width="6" style="15" customWidth="1"/>
    <col min="65" max="65" width="6" style="15" bestFit="1" customWidth="1"/>
    <col min="66" max="66" width="6" style="15" customWidth="1"/>
    <col min="67" max="71" width="8.140625" style="15" customWidth="1"/>
    <col min="72" max="72" width="8.42578125" style="15" bestFit="1" customWidth="1"/>
    <col min="73" max="78" width="11" style="15" customWidth="1"/>
    <col min="79" max="118" width="0.140625" style="15" customWidth="1"/>
    <col min="119" max="119" width="12" style="117" customWidth="1"/>
    <col min="120" max="120" width="28.140625" style="118" customWidth="1"/>
    <col min="121" max="121" width="10" style="117" customWidth="1"/>
    <col min="122" max="122" width="13.42578125" style="134" customWidth="1"/>
    <col min="123" max="124" width="9.42578125" style="117" customWidth="1"/>
    <col min="125" max="125" width="9.85546875" style="117" bestFit="1" customWidth="1"/>
    <col min="126" max="128" width="2" style="15" customWidth="1"/>
    <col min="129" max="131" width="11" style="15" customWidth="1"/>
    <col min="132" max="139" width="2" style="15" customWidth="1"/>
    <col min="140" max="172" width="0.140625" style="15" customWidth="1"/>
    <col min="173" max="16384" width="5" style="15"/>
  </cols>
  <sheetData>
    <row r="1" spans="1:131" s="18" customFormat="1" ht="211.8" x14ac:dyDescent="0.2">
      <c r="A1" s="16" t="s">
        <v>74</v>
      </c>
      <c r="B1" s="16" t="s">
        <v>75</v>
      </c>
      <c r="C1" s="17" t="s">
        <v>76</v>
      </c>
      <c r="D1" s="17" t="s">
        <v>73</v>
      </c>
      <c r="E1" s="17" t="s">
        <v>77</v>
      </c>
      <c r="F1" s="17" t="s">
        <v>78</v>
      </c>
      <c r="G1" s="17" t="s">
        <v>79</v>
      </c>
      <c r="H1" s="17" t="s">
        <v>80</v>
      </c>
      <c r="I1" s="17" t="s">
        <v>81</v>
      </c>
      <c r="J1" s="17" t="s">
        <v>82</v>
      </c>
      <c r="K1" s="17" t="s">
        <v>83</v>
      </c>
      <c r="L1" s="17" t="s">
        <v>84</v>
      </c>
      <c r="M1" s="17" t="s">
        <v>11</v>
      </c>
      <c r="N1" s="17" t="s">
        <v>15</v>
      </c>
      <c r="O1" s="17" t="s">
        <v>19</v>
      </c>
      <c r="P1" s="16" t="s">
        <v>23</v>
      </c>
      <c r="Q1" s="16" t="s">
        <v>26</v>
      </c>
      <c r="R1" s="16" t="s">
        <v>28</v>
      </c>
      <c r="S1" s="16" t="s">
        <v>31</v>
      </c>
      <c r="T1" s="16" t="s">
        <v>33</v>
      </c>
      <c r="U1" s="16" t="s">
        <v>35</v>
      </c>
      <c r="V1" s="16" t="s">
        <v>38</v>
      </c>
      <c r="W1" s="16" t="s">
        <v>40</v>
      </c>
      <c r="X1" s="16" t="s">
        <v>43</v>
      </c>
      <c r="Y1" s="16" t="s">
        <v>47</v>
      </c>
      <c r="Z1" s="16" t="s">
        <v>49</v>
      </c>
      <c r="AA1" s="16" t="s">
        <v>51</v>
      </c>
      <c r="AB1" s="16" t="s">
        <v>54</v>
      </c>
      <c r="AC1" s="16" t="s">
        <v>57</v>
      </c>
      <c r="AD1" s="16" t="s">
        <v>61</v>
      </c>
      <c r="AE1" s="16" t="s">
        <v>63</v>
      </c>
      <c r="AF1" s="16" t="s">
        <v>66</v>
      </c>
      <c r="AG1" s="16" t="s">
        <v>68</v>
      </c>
      <c r="AH1" s="16" t="s">
        <v>71</v>
      </c>
      <c r="AI1" s="16" t="s">
        <v>72</v>
      </c>
      <c r="AJ1" s="16" t="s">
        <v>13</v>
      </c>
      <c r="AK1" s="16" t="s">
        <v>17</v>
      </c>
      <c r="AL1" s="16" t="s">
        <v>21</v>
      </c>
      <c r="AM1" s="16" t="s">
        <v>25</v>
      </c>
      <c r="AN1" s="16" t="s">
        <v>27</v>
      </c>
      <c r="AO1" s="16" t="s">
        <v>29</v>
      </c>
      <c r="AP1" s="16" t="s">
        <v>32</v>
      </c>
      <c r="AQ1" s="16" t="s">
        <v>34</v>
      </c>
      <c r="AR1" s="16" t="s">
        <v>36</v>
      </c>
      <c r="AS1" s="16" t="s">
        <v>39</v>
      </c>
      <c r="AT1" s="16" t="s">
        <v>42</v>
      </c>
      <c r="AU1" s="16" t="s">
        <v>45</v>
      </c>
      <c r="AV1" s="16" t="s">
        <v>48</v>
      </c>
      <c r="AW1" s="16" t="s">
        <v>50</v>
      </c>
      <c r="AX1" s="16" t="s">
        <v>52</v>
      </c>
      <c r="AY1" s="16" t="s">
        <v>55</v>
      </c>
      <c r="AZ1" s="16" t="s">
        <v>58</v>
      </c>
      <c r="BA1" s="16" t="s">
        <v>62</v>
      </c>
      <c r="BB1" s="16" t="s">
        <v>64</v>
      </c>
      <c r="BC1" s="16" t="s">
        <v>67</v>
      </c>
      <c r="BD1" s="16" t="s">
        <v>69</v>
      </c>
      <c r="BE1" s="16"/>
      <c r="BF1" s="16" t="s">
        <v>87</v>
      </c>
      <c r="BG1" s="16" t="s">
        <v>88</v>
      </c>
      <c r="BH1" s="16" t="s">
        <v>89</v>
      </c>
      <c r="BI1" s="16" t="s">
        <v>90</v>
      </c>
      <c r="BJ1" s="16" t="s">
        <v>91</v>
      </c>
      <c r="BK1" s="16" t="s">
        <v>6</v>
      </c>
      <c r="BL1" s="16" t="s">
        <v>92</v>
      </c>
      <c r="BM1" s="16" t="s">
        <v>93</v>
      </c>
      <c r="BN1" s="16" t="s">
        <v>94</v>
      </c>
      <c r="BO1" s="16" t="s">
        <v>95</v>
      </c>
      <c r="BP1" s="16" t="s">
        <v>96</v>
      </c>
      <c r="BQ1" s="16" t="s">
        <v>97</v>
      </c>
      <c r="BR1" s="16" t="s">
        <v>98</v>
      </c>
      <c r="BS1" s="16" t="s">
        <v>99</v>
      </c>
      <c r="BT1" s="16" t="s">
        <v>100</v>
      </c>
      <c r="BU1" s="16" t="s">
        <v>101</v>
      </c>
      <c r="BV1" s="16" t="s">
        <v>89</v>
      </c>
      <c r="BW1" s="16" t="s">
        <v>91</v>
      </c>
      <c r="BX1" s="16" t="s">
        <v>92</v>
      </c>
      <c r="BY1" s="16" t="s">
        <v>102</v>
      </c>
      <c r="DO1" s="111" t="s">
        <v>346</v>
      </c>
      <c r="DP1" s="112"/>
      <c r="DQ1" s="113"/>
      <c r="DR1" s="132"/>
      <c r="DS1" s="113"/>
      <c r="DT1" s="113"/>
      <c r="DU1" s="113"/>
      <c r="DY1" s="128" t="s">
        <v>347</v>
      </c>
      <c r="DZ1" s="129" t="s">
        <v>348</v>
      </c>
      <c r="EA1" s="122" t="s">
        <v>349</v>
      </c>
    </row>
    <row r="2" spans="1:131" x14ac:dyDescent="0.3">
      <c r="A2" t="s">
        <v>389</v>
      </c>
      <c r="B2">
        <v>45076</v>
      </c>
      <c r="C2">
        <v>45076</v>
      </c>
      <c r="D2" t="s">
        <v>390</v>
      </c>
      <c r="E2" t="s">
        <v>391</v>
      </c>
      <c r="F2">
        <v>4560</v>
      </c>
      <c r="G2">
        <v>0.01</v>
      </c>
      <c r="H2">
        <v>4.6501536000000003</v>
      </c>
      <c r="I2">
        <v>-74.078029700000002</v>
      </c>
      <c r="J2">
        <v>4.6502423000000004</v>
      </c>
      <c r="K2">
        <v>-74.078021500000006</v>
      </c>
      <c r="L2"/>
      <c r="M2">
        <v>2</v>
      </c>
      <c r="N2">
        <v>3</v>
      </c>
      <c r="O2">
        <v>1</v>
      </c>
      <c r="P2">
        <v>2</v>
      </c>
      <c r="Q2">
        <v>2</v>
      </c>
      <c r="R2">
        <v>2</v>
      </c>
      <c r="S2">
        <v>2</v>
      </c>
      <c r="T2">
        <v>2</v>
      </c>
      <c r="U2">
        <v>2</v>
      </c>
      <c r="V2">
        <v>1</v>
      </c>
      <c r="W2">
        <v>1</v>
      </c>
      <c r="X2">
        <v>2</v>
      </c>
      <c r="Y2">
        <v>2</v>
      </c>
      <c r="Z2">
        <v>2</v>
      </c>
      <c r="AA2">
        <v>2</v>
      </c>
      <c r="AB2">
        <v>2</v>
      </c>
      <c r="AC2">
        <v>1</v>
      </c>
      <c r="AD2">
        <v>1</v>
      </c>
      <c r="AE2">
        <v>2</v>
      </c>
      <c r="AF2">
        <v>2</v>
      </c>
      <c r="AG2">
        <v>2</v>
      </c>
      <c r="AH2">
        <v>2</v>
      </c>
      <c r="AI2">
        <v>2</v>
      </c>
      <c r="AJ2">
        <v>1</v>
      </c>
      <c r="AK2">
        <v>2</v>
      </c>
      <c r="AL2">
        <v>1</v>
      </c>
      <c r="AM2">
        <v>2</v>
      </c>
      <c r="AN2">
        <v>2</v>
      </c>
      <c r="AO2">
        <v>2</v>
      </c>
      <c r="AP2">
        <v>2</v>
      </c>
      <c r="AQ2">
        <v>2</v>
      </c>
      <c r="AR2">
        <v>2</v>
      </c>
      <c r="AS2">
        <v>1</v>
      </c>
      <c r="AT2">
        <v>2</v>
      </c>
      <c r="AU2">
        <v>3</v>
      </c>
      <c r="AV2">
        <v>2</v>
      </c>
      <c r="AW2">
        <v>2</v>
      </c>
      <c r="AX2">
        <v>1</v>
      </c>
      <c r="AY2">
        <v>1</v>
      </c>
      <c r="AZ2">
        <v>39500</v>
      </c>
      <c r="BA2">
        <v>2</v>
      </c>
      <c r="BB2">
        <v>50</v>
      </c>
      <c r="BC2" s="15">
        <v>42.47</v>
      </c>
      <c r="BF2" s="2"/>
      <c r="BG2" s="20">
        <f>'CycleRAP Model'!BU3</f>
        <v>8.3980799999999984</v>
      </c>
      <c r="BH2" s="20">
        <f>DU61</f>
        <v>1.9089728669052337</v>
      </c>
      <c r="BI2" s="20">
        <f>'CycleRAP Model'!BU8</f>
        <v>16.796159999999997</v>
      </c>
      <c r="BJ2" s="20">
        <f>DU63</f>
        <v>0</v>
      </c>
      <c r="BK2" s="20">
        <f>'CycleRAP Model'!BU16</f>
        <v>13.996799999999999</v>
      </c>
      <c r="BL2" s="20">
        <f>DU65</f>
        <v>1.9089728669052337</v>
      </c>
      <c r="BM2" s="20">
        <f>'CycleRAP Model'!BU26</f>
        <v>0</v>
      </c>
      <c r="BN2" s="20">
        <f>DU67</f>
        <v>12.486524268053728</v>
      </c>
      <c r="BO2" s="20">
        <f>'CycleRAP Model'!BR3</f>
        <v>39.191039999999994</v>
      </c>
      <c r="BP2" s="20">
        <f>DU69</f>
        <v>16.304470001864196</v>
      </c>
      <c r="BQ2" s="20" t="str">
        <f>'CycleRAP Model'!BU4</f>
        <v>Medium</v>
      </c>
      <c r="BR2" s="20" t="str">
        <f>'CycleRAP Model'!BU9</f>
        <v>High</v>
      </c>
      <c r="BS2" s="20" t="str">
        <f>'CycleRAP Model'!BU17</f>
        <v>High</v>
      </c>
      <c r="BT2" s="20" t="str">
        <f>'CycleRAP Model'!BU27</f>
        <v>Low</v>
      </c>
      <c r="BU2" s="20" t="str">
        <f>'CycleRAP Model'!BR4</f>
        <v>High</v>
      </c>
      <c r="BV2" s="15" t="str">
        <f>DU75</f>
        <v>Low</v>
      </c>
      <c r="BW2" s="15" t="str">
        <f>DU76</f>
        <v>Low</v>
      </c>
      <c r="BX2" s="15" t="str">
        <f>DU77</f>
        <v>Low</v>
      </c>
      <c r="BY2" s="15" t="str">
        <f>DU78</f>
        <v>Medium</v>
      </c>
      <c r="DO2" s="114" t="s">
        <v>350</v>
      </c>
      <c r="DP2" s="115" t="s">
        <v>351</v>
      </c>
      <c r="DQ2" s="113"/>
      <c r="DR2" s="133" t="s">
        <v>114</v>
      </c>
      <c r="DS2" s="114" t="s">
        <v>352</v>
      </c>
      <c r="DT2" s="114" t="s">
        <v>353</v>
      </c>
      <c r="DU2" s="116" t="s">
        <v>354</v>
      </c>
      <c r="DY2" s="130">
        <v>1</v>
      </c>
      <c r="DZ2" s="127" t="s">
        <v>12</v>
      </c>
      <c r="EA2" s="123">
        <v>0.1</v>
      </c>
    </row>
    <row r="3" spans="1:131" x14ac:dyDescent="0.3">
      <c r="BF3" s="2"/>
      <c r="DP3" s="120" t="s">
        <v>74</v>
      </c>
      <c r="DR3" s="134" t="s">
        <v>355</v>
      </c>
      <c r="DT3" s="117">
        <v>1</v>
      </c>
      <c r="DU3" s="117" t="str">
        <f>A2</f>
        <v>Gabriel G</v>
      </c>
      <c r="DY3" s="130">
        <v>2</v>
      </c>
      <c r="DZ3" s="127" t="s">
        <v>180</v>
      </c>
      <c r="EA3" s="123">
        <v>0.1</v>
      </c>
    </row>
    <row r="4" spans="1:131" x14ac:dyDescent="0.3">
      <c r="A4" s="19" t="str">
        <f>'CycleRAP Model'!O3</f>
        <v>Gabriel G</v>
      </c>
      <c r="B4" s="19">
        <f>'CycleRAP Model'!O4</f>
        <v>45076</v>
      </c>
      <c r="C4" s="15">
        <f>'CycleRAP Model'!O5</f>
        <v>45076</v>
      </c>
      <c r="D4" s="15" t="str">
        <f>'CycleRAP Model'!O6</f>
        <v>F004560</v>
      </c>
      <c r="E4" s="15" t="str">
        <f>'CycleRAP Model'!O7</f>
        <v>Carrera 30</v>
      </c>
      <c r="F4" s="15">
        <f>'CycleRAP Model'!O8</f>
        <v>4560</v>
      </c>
      <c r="G4" s="15">
        <f>'CycleRAP Model'!O9</f>
        <v>0.01</v>
      </c>
      <c r="H4" s="15">
        <f>'CycleRAP Model'!O10</f>
        <v>4.6501536000000003</v>
      </c>
      <c r="I4" s="15">
        <f>'CycleRAP Model'!O11</f>
        <v>-74.078029700000002</v>
      </c>
      <c r="J4" s="15">
        <f>'CycleRAP Model'!O12</f>
        <v>4.6502423000000004</v>
      </c>
      <c r="K4" s="15">
        <f>'CycleRAP Model'!O13</f>
        <v>-74.078021500000006</v>
      </c>
      <c r="L4" s="15" t="e">
        <f>'CycleRAP Model'!O14</f>
        <v>#REF!</v>
      </c>
      <c r="M4" s="15">
        <f>'CycleRAP Model'!O15</f>
        <v>2</v>
      </c>
      <c r="N4" s="15">
        <f>'CycleRAP Model'!O16</f>
        <v>3</v>
      </c>
      <c r="O4" s="15">
        <f>'CycleRAP Model'!O17</f>
        <v>1</v>
      </c>
      <c r="P4" s="15">
        <f>'CycleRAP Model'!O18</f>
        <v>2</v>
      </c>
      <c r="Q4" s="15">
        <f>'CycleRAP Model'!O19</f>
        <v>2</v>
      </c>
      <c r="R4" s="15">
        <f>'CycleRAP Model'!O20</f>
        <v>2</v>
      </c>
      <c r="S4" s="15">
        <f>'CycleRAP Model'!O21</f>
        <v>2</v>
      </c>
      <c r="T4" s="15">
        <f>'CycleRAP Model'!O22</f>
        <v>2</v>
      </c>
      <c r="U4" s="15">
        <f>'CycleRAP Model'!O23</f>
        <v>2</v>
      </c>
      <c r="V4" s="15">
        <f>'CycleRAP Model'!O24</f>
        <v>1</v>
      </c>
      <c r="W4" s="15">
        <f>'CycleRAP Model'!O25</f>
        <v>1</v>
      </c>
      <c r="X4" s="15">
        <f>'CycleRAP Model'!O26</f>
        <v>2</v>
      </c>
      <c r="Y4" s="15">
        <f>'CycleRAP Model'!O27</f>
        <v>2</v>
      </c>
      <c r="Z4" s="15">
        <f>'CycleRAP Model'!O28</f>
        <v>2</v>
      </c>
      <c r="AA4" s="15">
        <f>'CycleRAP Model'!O29</f>
        <v>2</v>
      </c>
      <c r="AB4" s="15">
        <f>'CycleRAP Model'!O30</f>
        <v>2</v>
      </c>
      <c r="AC4" s="15">
        <f>'CycleRAP Model'!O31</f>
        <v>1</v>
      </c>
      <c r="AD4" s="15">
        <f>'CycleRAP Model'!O32</f>
        <v>1</v>
      </c>
      <c r="AE4" s="15">
        <f>'CycleRAP Model'!O33</f>
        <v>2</v>
      </c>
      <c r="AF4" s="15">
        <f>'CycleRAP Model'!O34</f>
        <v>2</v>
      </c>
      <c r="AG4" s="15">
        <f>'CycleRAP Model'!O35</f>
        <v>2</v>
      </c>
      <c r="AH4" s="15">
        <f>'CycleRAP Model'!O36</f>
        <v>2</v>
      </c>
      <c r="AI4" s="15">
        <f>'CycleRAP Model'!O37</f>
        <v>2</v>
      </c>
      <c r="AJ4" s="15">
        <f>'CycleRAP Model'!O38</f>
        <v>1</v>
      </c>
      <c r="AK4" s="15">
        <f>'CycleRAP Model'!O39</f>
        <v>2</v>
      </c>
      <c r="AL4" s="15">
        <f>'CycleRAP Model'!O40</f>
        <v>1</v>
      </c>
      <c r="AM4" s="15">
        <f>'CycleRAP Model'!O41</f>
        <v>2</v>
      </c>
      <c r="AN4" s="15">
        <f>'CycleRAP Model'!O42</f>
        <v>2</v>
      </c>
      <c r="AO4" s="15">
        <f>'CycleRAP Model'!O43</f>
        <v>2</v>
      </c>
      <c r="AP4" s="15">
        <f>'CycleRAP Model'!O44</f>
        <v>2</v>
      </c>
      <c r="AQ4" s="15">
        <f>'CycleRAP Model'!O45</f>
        <v>2</v>
      </c>
      <c r="AR4" s="15">
        <f>'CycleRAP Model'!O46</f>
        <v>2</v>
      </c>
      <c r="AS4" s="15">
        <f>'CycleRAP Model'!O47</f>
        <v>1</v>
      </c>
      <c r="AT4" s="15">
        <f>'CycleRAP Model'!O48</f>
        <v>2</v>
      </c>
      <c r="AU4" s="15">
        <f>'CycleRAP Model'!O49</f>
        <v>3</v>
      </c>
      <c r="AV4" s="15">
        <f>'CycleRAP Model'!O50</f>
        <v>2</v>
      </c>
      <c r="AW4" s="15">
        <f>'CycleRAP Model'!O51</f>
        <v>2</v>
      </c>
      <c r="AX4" s="15">
        <f>'CycleRAP Model'!O52</f>
        <v>1</v>
      </c>
      <c r="AY4" s="15">
        <f>'CycleRAP Model'!O53</f>
        <v>1</v>
      </c>
      <c r="AZ4" s="15">
        <f>'CycleRAP Model'!O54</f>
        <v>39500</v>
      </c>
      <c r="BA4" s="15">
        <f>'CycleRAP Model'!O55</f>
        <v>2</v>
      </c>
      <c r="BB4" s="15">
        <f>'CycleRAP Model'!O56</f>
        <v>50</v>
      </c>
      <c r="BC4" s="15">
        <f>'CycleRAP Model'!O57</f>
        <v>42.47</v>
      </c>
      <c r="BD4" s="15">
        <f>'CycleRAP Model'!O58</f>
        <v>0</v>
      </c>
      <c r="BF4" s="2"/>
      <c r="DP4" s="120" t="s">
        <v>75</v>
      </c>
      <c r="DR4" s="134" t="s">
        <v>355</v>
      </c>
      <c r="DT4" s="117">
        <v>2</v>
      </c>
      <c r="DU4" s="117">
        <f>B2</f>
        <v>45076</v>
      </c>
      <c r="DY4" s="130">
        <v>3</v>
      </c>
      <c r="DZ4" s="127" t="s">
        <v>182</v>
      </c>
      <c r="EA4" s="123">
        <v>0.5</v>
      </c>
    </row>
    <row r="5" spans="1:131" ht="14.4" thickBot="1" x14ac:dyDescent="0.35">
      <c r="BF5" s="2"/>
      <c r="DP5" s="121" t="s">
        <v>76</v>
      </c>
      <c r="DR5" s="134" t="s">
        <v>355</v>
      </c>
      <c r="DT5" s="117">
        <v>3</v>
      </c>
      <c r="DU5" s="117">
        <f>C2</f>
        <v>45076</v>
      </c>
      <c r="DY5" s="124">
        <v>4</v>
      </c>
      <c r="DZ5" s="125" t="s">
        <v>183</v>
      </c>
      <c r="EA5" s="126">
        <v>0.5</v>
      </c>
    </row>
    <row r="6" spans="1:131" x14ac:dyDescent="0.3">
      <c r="BF6" s="2"/>
      <c r="DP6" s="121" t="s">
        <v>73</v>
      </c>
      <c r="DR6" s="134" t="s">
        <v>355</v>
      </c>
      <c r="DT6" s="117">
        <v>4</v>
      </c>
      <c r="DU6" s="117" t="str">
        <f>D$2</f>
        <v>F004560</v>
      </c>
    </row>
    <row r="7" spans="1:131" x14ac:dyDescent="0.3">
      <c r="BF7" s="2"/>
      <c r="DP7" s="121" t="s">
        <v>77</v>
      </c>
      <c r="DR7" s="134" t="s">
        <v>355</v>
      </c>
      <c r="DT7" s="117">
        <v>5</v>
      </c>
      <c r="DU7" s="117" t="str">
        <f>E$2</f>
        <v>Carrera 30</v>
      </c>
    </row>
    <row r="8" spans="1:131" x14ac:dyDescent="0.3">
      <c r="B8" s="1" t="s">
        <v>108</v>
      </c>
      <c r="C8" s="284" t="s">
        <v>392</v>
      </c>
      <c r="BF8" s="2"/>
      <c r="DP8" s="121" t="s">
        <v>78</v>
      </c>
      <c r="DR8" s="134" t="s">
        <v>355</v>
      </c>
      <c r="DT8" s="117">
        <v>6</v>
      </c>
      <c r="DU8" s="117">
        <f>F$2</f>
        <v>4560</v>
      </c>
    </row>
    <row r="9" spans="1:131" x14ac:dyDescent="0.3">
      <c r="A9" s="2"/>
      <c r="B9" s="2"/>
      <c r="C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F9" s="2"/>
      <c r="DP9" s="121" t="s">
        <v>79</v>
      </c>
      <c r="DR9" s="134" t="s">
        <v>355</v>
      </c>
      <c r="DT9" s="117">
        <v>7</v>
      </c>
      <c r="DU9" s="117">
        <f>G$2</f>
        <v>0.01</v>
      </c>
    </row>
    <row r="10" spans="1:131" ht="24.6" x14ac:dyDescent="0.3">
      <c r="A10" s="2" t="s">
        <v>0</v>
      </c>
      <c r="B10" s="2" t="s">
        <v>0</v>
      </c>
      <c r="C10" s="2" t="s">
        <v>0</v>
      </c>
      <c r="D10" s="2" t="s">
        <v>0</v>
      </c>
      <c r="E10" s="2" t="s">
        <v>0</v>
      </c>
      <c r="F10" s="2" t="s">
        <v>0</v>
      </c>
      <c r="G10" s="2" t="s">
        <v>0</v>
      </c>
      <c r="H10" s="2" t="s">
        <v>0</v>
      </c>
      <c r="I10" s="2" t="s">
        <v>0</v>
      </c>
      <c r="J10" s="2" t="s">
        <v>0</v>
      </c>
      <c r="K10" s="2" t="s">
        <v>0</v>
      </c>
      <c r="L10" s="2" t="s">
        <v>0</v>
      </c>
      <c r="M10" s="2" t="s">
        <v>356</v>
      </c>
      <c r="N10" s="2" t="s">
        <v>356</v>
      </c>
      <c r="O10" s="2" t="s">
        <v>356</v>
      </c>
      <c r="P10" s="2" t="s">
        <v>356</v>
      </c>
      <c r="Q10" s="2" t="s">
        <v>356</v>
      </c>
      <c r="R10" s="2" t="s">
        <v>356</v>
      </c>
      <c r="S10" s="2" t="s">
        <v>356</v>
      </c>
      <c r="T10" s="2" t="s">
        <v>356</v>
      </c>
      <c r="U10" s="2" t="s">
        <v>356</v>
      </c>
      <c r="V10" s="2" t="s">
        <v>356</v>
      </c>
      <c r="W10" s="2" t="s">
        <v>356</v>
      </c>
      <c r="X10" s="2" t="s">
        <v>356</v>
      </c>
      <c r="Y10" s="2" t="s">
        <v>356</v>
      </c>
      <c r="Z10" s="2" t="s">
        <v>356</v>
      </c>
      <c r="AA10" s="2" t="s">
        <v>356</v>
      </c>
      <c r="AB10" s="2" t="s">
        <v>356</v>
      </c>
      <c r="AC10" s="2" t="s">
        <v>356</v>
      </c>
      <c r="AD10" s="2" t="s">
        <v>356</v>
      </c>
      <c r="AE10" s="2" t="s">
        <v>356</v>
      </c>
      <c r="AF10" s="2" t="s">
        <v>356</v>
      </c>
      <c r="AG10" s="2" t="s">
        <v>356</v>
      </c>
      <c r="AH10" s="2" t="s">
        <v>356</v>
      </c>
      <c r="AI10" s="2" t="s">
        <v>356</v>
      </c>
      <c r="AJ10" s="2" t="s">
        <v>356</v>
      </c>
      <c r="AK10" s="2" t="s">
        <v>356</v>
      </c>
      <c r="AL10" s="2" t="s">
        <v>356</v>
      </c>
      <c r="AM10" s="2" t="s">
        <v>356</v>
      </c>
      <c r="AN10" s="2" t="s">
        <v>356</v>
      </c>
      <c r="AO10" s="2" t="s">
        <v>356</v>
      </c>
      <c r="AP10" s="2" t="s">
        <v>356</v>
      </c>
      <c r="AQ10" s="2" t="s">
        <v>356</v>
      </c>
      <c r="AR10" s="2" t="s">
        <v>356</v>
      </c>
      <c r="AS10" s="2" t="s">
        <v>356</v>
      </c>
      <c r="AT10" s="2" t="s">
        <v>356</v>
      </c>
      <c r="AU10" s="2" t="s">
        <v>356</v>
      </c>
      <c r="AV10" s="2" t="s">
        <v>356</v>
      </c>
      <c r="AW10" s="2" t="s">
        <v>356</v>
      </c>
      <c r="AX10" s="2" t="s">
        <v>356</v>
      </c>
      <c r="AY10" s="2" t="s">
        <v>356</v>
      </c>
      <c r="AZ10" s="2" t="s">
        <v>0</v>
      </c>
      <c r="BA10" s="2" t="s">
        <v>356</v>
      </c>
      <c r="BB10" s="2" t="s">
        <v>0</v>
      </c>
      <c r="BC10" s="2" t="s">
        <v>0</v>
      </c>
      <c r="BD10" s="2" t="s">
        <v>356</v>
      </c>
      <c r="BE10" s="2"/>
      <c r="BF10" s="2"/>
      <c r="BG10" s="2"/>
      <c r="BH10" s="2"/>
      <c r="BI10" s="2"/>
      <c r="BJ10" s="2"/>
      <c r="BK10" s="2"/>
      <c r="BL10" s="2"/>
      <c r="BM10" s="2"/>
      <c r="BN10" s="2"/>
      <c r="BO10" s="2"/>
      <c r="BP10" s="2"/>
      <c r="BQ10" s="2"/>
      <c r="BR10" s="2"/>
      <c r="BS10" s="2"/>
      <c r="BT10" s="2"/>
      <c r="BU10" s="2"/>
      <c r="BV10" s="2" t="s">
        <v>89</v>
      </c>
      <c r="BW10" s="2" t="s">
        <v>91</v>
      </c>
      <c r="BX10" s="2" t="s">
        <v>92</v>
      </c>
      <c r="BY10" s="2" t="s">
        <v>102</v>
      </c>
      <c r="DP10" s="121" t="s">
        <v>80</v>
      </c>
      <c r="DR10" s="134" t="s">
        <v>355</v>
      </c>
      <c r="DT10" s="117">
        <v>8</v>
      </c>
      <c r="DU10" s="117">
        <f>H$2</f>
        <v>4.6501536000000003</v>
      </c>
    </row>
    <row r="11" spans="1:131" x14ac:dyDescent="0.3">
      <c r="A11" s="2"/>
      <c r="C11" s="2"/>
      <c r="M11" t="s">
        <v>12</v>
      </c>
      <c r="N11" t="s">
        <v>153</v>
      </c>
      <c r="O11" t="s">
        <v>151</v>
      </c>
      <c r="P11" t="s">
        <v>24</v>
      </c>
      <c r="Q11" t="s">
        <v>24</v>
      </c>
      <c r="R11" t="s">
        <v>24</v>
      </c>
      <c r="S11" t="s">
        <v>24</v>
      </c>
      <c r="T11" t="s">
        <v>24</v>
      </c>
      <c r="U11" t="s">
        <v>24</v>
      </c>
      <c r="V11" t="s">
        <v>24</v>
      </c>
      <c r="W11" t="s">
        <v>357</v>
      </c>
      <c r="X11" t="s">
        <v>187</v>
      </c>
      <c r="Y11" t="s">
        <v>24</v>
      </c>
      <c r="Z11" t="s">
        <v>24</v>
      </c>
      <c r="AA11" t="s">
        <v>24</v>
      </c>
      <c r="AB11" t="s">
        <v>24</v>
      </c>
      <c r="AC11" t="s">
        <v>24</v>
      </c>
      <c r="AD11" t="s">
        <v>24</v>
      </c>
      <c r="AE11" t="s">
        <v>24</v>
      </c>
      <c r="AF11" t="s">
        <v>24</v>
      </c>
      <c r="AG11" t="s">
        <v>24</v>
      </c>
      <c r="AH11" t="s">
        <v>24</v>
      </c>
      <c r="AI11" t="s">
        <v>24</v>
      </c>
      <c r="AJ11" t="s">
        <v>358</v>
      </c>
      <c r="AK11" t="s">
        <v>18</v>
      </c>
      <c r="AL11" t="s">
        <v>24</v>
      </c>
      <c r="AM11" t="s">
        <v>24</v>
      </c>
      <c r="AN11" t="s">
        <v>24</v>
      </c>
      <c r="AO11" t="s">
        <v>30</v>
      </c>
      <c r="AP11" t="s">
        <v>24</v>
      </c>
      <c r="AQ11" t="s">
        <v>24</v>
      </c>
      <c r="AR11" t="s">
        <v>221</v>
      </c>
      <c r="AS11" t="s">
        <v>221</v>
      </c>
      <c r="AT11" t="s">
        <v>24</v>
      </c>
      <c r="AU11" t="s">
        <v>228</v>
      </c>
      <c r="AV11" t="s">
        <v>103</v>
      </c>
      <c r="AW11" t="s">
        <v>103</v>
      </c>
      <c r="AX11" t="s">
        <v>232</v>
      </c>
      <c r="AY11" t="s">
        <v>234</v>
      </c>
      <c r="AZ11"/>
      <c r="BA11" t="s">
        <v>236</v>
      </c>
      <c r="BB11"/>
      <c r="BC11"/>
      <c r="BD11" t="s">
        <v>258</v>
      </c>
      <c r="BE11"/>
      <c r="BF11"/>
      <c r="DP11" s="121" t="s">
        <v>81</v>
      </c>
      <c r="DR11" s="134" t="s">
        <v>355</v>
      </c>
      <c r="DT11" s="117">
        <v>9</v>
      </c>
      <c r="DU11" s="117">
        <f>I$2</f>
        <v>-74.078029700000002</v>
      </c>
    </row>
    <row r="12" spans="1:131" x14ac:dyDescent="0.3">
      <c r="A12" s="2"/>
      <c r="C12" s="2"/>
      <c r="M12" t="s">
        <v>180</v>
      </c>
      <c r="N12" t="s">
        <v>157</v>
      </c>
      <c r="O12" t="s">
        <v>20</v>
      </c>
      <c r="P12" t="s">
        <v>22</v>
      </c>
      <c r="Q12" t="s">
        <v>22</v>
      </c>
      <c r="R12" t="s">
        <v>22</v>
      </c>
      <c r="S12" t="s">
        <v>22</v>
      </c>
      <c r="T12" t="s">
        <v>22</v>
      </c>
      <c r="U12" t="s">
        <v>22</v>
      </c>
      <c r="V12" t="s">
        <v>22</v>
      </c>
      <c r="W12" s="35" t="s">
        <v>359</v>
      </c>
      <c r="X12" t="s">
        <v>44</v>
      </c>
      <c r="Y12" t="s">
        <v>22</v>
      </c>
      <c r="Z12" t="s">
        <v>22</v>
      </c>
      <c r="AA12" t="s">
        <v>22</v>
      </c>
      <c r="AB12" t="s">
        <v>22</v>
      </c>
      <c r="AC12" t="s">
        <v>22</v>
      </c>
      <c r="AD12" t="s">
        <v>22</v>
      </c>
      <c r="AE12" t="s">
        <v>22</v>
      </c>
      <c r="AF12" t="s">
        <v>22</v>
      </c>
      <c r="AG12" t="s">
        <v>22</v>
      </c>
      <c r="AH12" t="s">
        <v>22</v>
      </c>
      <c r="AI12" t="s">
        <v>22</v>
      </c>
      <c r="AJ12" s="35" t="s">
        <v>360</v>
      </c>
      <c r="AK12" t="s">
        <v>207</v>
      </c>
      <c r="AL12" t="s">
        <v>22</v>
      </c>
      <c r="AM12" t="s">
        <v>22</v>
      </c>
      <c r="AN12" t="s">
        <v>22</v>
      </c>
      <c r="AO12" t="s">
        <v>213</v>
      </c>
      <c r="AP12" t="s">
        <v>22</v>
      </c>
      <c r="AQ12" t="s">
        <v>361</v>
      </c>
      <c r="AR12" t="s">
        <v>37</v>
      </c>
      <c r="AS12" t="s">
        <v>37</v>
      </c>
      <c r="AT12" t="s">
        <v>22</v>
      </c>
      <c r="AU12" t="s">
        <v>103</v>
      </c>
      <c r="AV12" t="s">
        <v>46</v>
      </c>
      <c r="AW12" t="s">
        <v>46</v>
      </c>
      <c r="AX12" s="35" t="s">
        <v>53</v>
      </c>
      <c r="AY12" s="35" t="s">
        <v>56</v>
      </c>
      <c r="AZ12"/>
      <c r="BA12" t="s">
        <v>46</v>
      </c>
      <c r="BB12"/>
      <c r="BC12"/>
      <c r="BD12" t="s">
        <v>70</v>
      </c>
      <c r="BE12"/>
      <c r="BF12"/>
      <c r="DP12" s="121" t="s">
        <v>82</v>
      </c>
      <c r="DR12" s="134" t="s">
        <v>355</v>
      </c>
      <c r="DT12" s="117">
        <v>10</v>
      </c>
      <c r="DU12" s="117">
        <f>J$2</f>
        <v>4.6502423000000004</v>
      </c>
    </row>
    <row r="13" spans="1:131" x14ac:dyDescent="0.3">
      <c r="A13" s="2"/>
      <c r="C13" s="2"/>
      <c r="M13" t="s">
        <v>182</v>
      </c>
      <c r="N13" t="s">
        <v>16</v>
      </c>
      <c r="O13"/>
      <c r="P13"/>
      <c r="Q13"/>
      <c r="R13"/>
      <c r="S13"/>
      <c r="T13"/>
      <c r="U13"/>
      <c r="V13"/>
      <c r="W13"/>
      <c r="X13"/>
      <c r="Y13"/>
      <c r="Z13"/>
      <c r="AA13"/>
      <c r="AB13"/>
      <c r="AC13"/>
      <c r="AD13"/>
      <c r="AE13"/>
      <c r="AF13"/>
      <c r="AG13"/>
      <c r="AH13"/>
      <c r="AI13"/>
      <c r="AJ13"/>
      <c r="AK13"/>
      <c r="AL13"/>
      <c r="AM13"/>
      <c r="AN13"/>
      <c r="AO13"/>
      <c r="AP13"/>
      <c r="AQ13"/>
      <c r="AR13"/>
      <c r="AS13"/>
      <c r="AT13"/>
      <c r="AU13" t="s">
        <v>46</v>
      </c>
      <c r="AV13"/>
      <c r="AW13"/>
      <c r="AX13"/>
      <c r="AY13"/>
      <c r="AZ13"/>
      <c r="BA13"/>
      <c r="BB13"/>
      <c r="BC13"/>
      <c r="BD13"/>
      <c r="BE13"/>
      <c r="BF13"/>
      <c r="DP13" s="121" t="s">
        <v>83</v>
      </c>
      <c r="DR13" s="134" t="s">
        <v>355</v>
      </c>
      <c r="DT13" s="117">
        <v>11</v>
      </c>
      <c r="DU13" s="117">
        <f>K$2</f>
        <v>-74.078021500000006</v>
      </c>
    </row>
    <row r="14" spans="1:131" x14ac:dyDescent="0.3">
      <c r="A14" s="2"/>
      <c r="C14" s="2"/>
      <c r="M14" t="s">
        <v>183</v>
      </c>
      <c r="N14" t="s">
        <v>160</v>
      </c>
      <c r="O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DP14" s="121" t="s">
        <v>84</v>
      </c>
      <c r="DR14" s="134" t="s">
        <v>355</v>
      </c>
      <c r="DT14" s="117">
        <v>12</v>
      </c>
      <c r="DU14" s="117">
        <f>L$2</f>
        <v>0</v>
      </c>
    </row>
    <row r="15" spans="1:131" x14ac:dyDescent="0.3">
      <c r="A15" s="2"/>
      <c r="C15" s="2"/>
      <c r="N15" t="s">
        <v>163</v>
      </c>
      <c r="O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DP15" s="121" t="s">
        <v>11</v>
      </c>
      <c r="DR15" s="134" t="s">
        <v>355</v>
      </c>
      <c r="DT15" s="117">
        <v>13</v>
      </c>
      <c r="DU15" s="117">
        <f>M$2</f>
        <v>2</v>
      </c>
    </row>
    <row r="16" spans="1:131" x14ac:dyDescent="0.3">
      <c r="A16" s="2"/>
      <c r="C16" s="2"/>
      <c r="D16" s="2"/>
      <c r="N16" t="s">
        <v>167</v>
      </c>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DP16" s="121" t="s">
        <v>15</v>
      </c>
      <c r="DR16" s="134" t="s">
        <v>355</v>
      </c>
      <c r="DT16" s="117">
        <v>14</v>
      </c>
      <c r="DU16" s="117">
        <f>N$2</f>
        <v>3</v>
      </c>
    </row>
    <row r="17" spans="1:125" x14ac:dyDescent="0.3">
      <c r="A17" s="2"/>
      <c r="C17" s="2"/>
      <c r="D17" s="2"/>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DP17" s="121" t="s">
        <v>19</v>
      </c>
      <c r="DR17" s="134" t="s">
        <v>355</v>
      </c>
      <c r="DT17" s="117">
        <v>15</v>
      </c>
      <c r="DU17" s="117">
        <f>O$2</f>
        <v>1</v>
      </c>
    </row>
    <row r="18" spans="1:125" x14ac:dyDescent="0.3">
      <c r="A18" s="2"/>
      <c r="C18" s="2"/>
      <c r="D18" s="2"/>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DP18" s="120" t="s">
        <v>23</v>
      </c>
      <c r="DR18" s="134" t="s">
        <v>355</v>
      </c>
      <c r="DT18" s="117">
        <v>16</v>
      </c>
      <c r="DU18" s="117">
        <f>P$2</f>
        <v>2</v>
      </c>
    </row>
    <row r="19" spans="1:125" x14ac:dyDescent="0.3">
      <c r="A19" s="2"/>
      <c r="C19" s="2"/>
      <c r="D19" s="2"/>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DP19" s="120" t="s">
        <v>26</v>
      </c>
      <c r="DR19" s="134" t="s">
        <v>355</v>
      </c>
      <c r="DT19" s="117">
        <v>17</v>
      </c>
      <c r="DU19" s="117">
        <f>Q$2</f>
        <v>2</v>
      </c>
    </row>
    <row r="20" spans="1:125" x14ac:dyDescent="0.3">
      <c r="A20" s="2"/>
      <c r="C20" s="2"/>
      <c r="D20" s="2"/>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DP20" s="120" t="s">
        <v>28</v>
      </c>
      <c r="DR20" s="134" t="s">
        <v>355</v>
      </c>
      <c r="DT20" s="117">
        <v>18</v>
      </c>
      <c r="DU20" s="117">
        <f>R$2</f>
        <v>2</v>
      </c>
    </row>
    <row r="21" spans="1:125" x14ac:dyDescent="0.3">
      <c r="A21" s="2"/>
      <c r="C21" s="2"/>
      <c r="D21" s="2"/>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DP21" s="120" t="s">
        <v>31</v>
      </c>
      <c r="DR21" s="134" t="s">
        <v>355</v>
      </c>
      <c r="DT21" s="117">
        <v>19</v>
      </c>
      <c r="DU21" s="117">
        <f>S$2</f>
        <v>2</v>
      </c>
    </row>
    <row r="22" spans="1:125" x14ac:dyDescent="0.3">
      <c r="A22" s="2"/>
      <c r="C22" s="2"/>
      <c r="D22" s="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DP22" s="120" t="s">
        <v>33</v>
      </c>
      <c r="DR22" s="134" t="s">
        <v>355</v>
      </c>
      <c r="DT22" s="117">
        <v>20</v>
      </c>
      <c r="DU22" s="117">
        <f>T$2</f>
        <v>2</v>
      </c>
    </row>
    <row r="23" spans="1:125" x14ac:dyDescent="0.3">
      <c r="A23" s="2"/>
      <c r="C23" s="2"/>
      <c r="D23" s="2"/>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DP23" s="120" t="s">
        <v>35</v>
      </c>
      <c r="DR23" s="134" t="s">
        <v>355</v>
      </c>
      <c r="DT23" s="117">
        <v>21</v>
      </c>
      <c r="DU23" s="117">
        <f>U$2</f>
        <v>2</v>
      </c>
    </row>
    <row r="24" spans="1:125" x14ac:dyDescent="0.3">
      <c r="A24" s="2"/>
      <c r="C24" s="2"/>
      <c r="D24" s="2"/>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DP24" s="120" t="s">
        <v>38</v>
      </c>
      <c r="DR24" s="134" t="s">
        <v>355</v>
      </c>
      <c r="DT24" s="117">
        <v>22</v>
      </c>
      <c r="DU24" s="117">
        <f>V$2</f>
        <v>1</v>
      </c>
    </row>
    <row r="25" spans="1:125" x14ac:dyDescent="0.3">
      <c r="A25" s="2"/>
      <c r="C25" s="2"/>
      <c r="D25" s="2"/>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DP25" s="120" t="s">
        <v>40</v>
      </c>
      <c r="DR25" s="134" t="s">
        <v>355</v>
      </c>
      <c r="DT25" s="117">
        <v>23</v>
      </c>
      <c r="DU25" s="117">
        <f>W$2</f>
        <v>1</v>
      </c>
    </row>
    <row r="26" spans="1:125" x14ac:dyDescent="0.3">
      <c r="A26" s="2"/>
      <c r="C26" s="2"/>
      <c r="D26" s="2"/>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DP26" s="120" t="s">
        <v>43</v>
      </c>
      <c r="DR26" s="134" t="s">
        <v>355</v>
      </c>
      <c r="DT26" s="117">
        <v>24</v>
      </c>
      <c r="DU26" s="117">
        <f>X$2</f>
        <v>2</v>
      </c>
    </row>
    <row r="27" spans="1:125" x14ac:dyDescent="0.3">
      <c r="A27" s="2"/>
      <c r="C27" s="2"/>
      <c r="D27" s="2"/>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DP27" s="120" t="s">
        <v>47</v>
      </c>
      <c r="DR27" s="134" t="s">
        <v>355</v>
      </c>
      <c r="DT27" s="117">
        <v>25</v>
      </c>
      <c r="DU27" s="117">
        <f>Y$2</f>
        <v>2</v>
      </c>
    </row>
    <row r="28" spans="1:125" x14ac:dyDescent="0.3">
      <c r="A28" s="2"/>
      <c r="C28" s="2"/>
      <c r="D28" s="2"/>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DP28" s="120" t="s">
        <v>49</v>
      </c>
      <c r="DR28" s="134" t="s">
        <v>355</v>
      </c>
      <c r="DT28" s="117">
        <v>26</v>
      </c>
      <c r="DU28" s="117">
        <f>Z$2</f>
        <v>2</v>
      </c>
    </row>
    <row r="29" spans="1:125" x14ac:dyDescent="0.3">
      <c r="A29" s="2"/>
      <c r="C29" s="2"/>
      <c r="D29" s="2"/>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DP29" s="120" t="s">
        <v>51</v>
      </c>
      <c r="DR29" s="134" t="s">
        <v>355</v>
      </c>
      <c r="DT29" s="117">
        <v>27</v>
      </c>
      <c r="DU29" s="117">
        <f>AA$2</f>
        <v>2</v>
      </c>
    </row>
    <row r="30" spans="1:125" x14ac:dyDescent="0.3">
      <c r="A30" s="2"/>
      <c r="C30" s="2"/>
      <c r="D30" s="2"/>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DP30" s="120" t="s">
        <v>54</v>
      </c>
      <c r="DR30" s="134" t="s">
        <v>355</v>
      </c>
      <c r="DT30" s="117">
        <v>28</v>
      </c>
      <c r="DU30" s="117">
        <f>AB$2</f>
        <v>2</v>
      </c>
    </row>
    <row r="31" spans="1:125" x14ac:dyDescent="0.3">
      <c r="A31" s="2"/>
      <c r="C31" s="2"/>
      <c r="D31" s="2"/>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DP31" s="120" t="s">
        <v>57</v>
      </c>
      <c r="DR31" s="134" t="s">
        <v>355</v>
      </c>
      <c r="DT31" s="117">
        <v>29</v>
      </c>
      <c r="DU31" s="117">
        <f>AC$2</f>
        <v>1</v>
      </c>
    </row>
    <row r="32" spans="1:125" x14ac:dyDescent="0.3">
      <c r="A32" s="2"/>
      <c r="C32" s="2"/>
      <c r="D32" s="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DP32" s="120" t="s">
        <v>61</v>
      </c>
      <c r="DR32" s="134" t="s">
        <v>355</v>
      </c>
      <c r="DT32" s="117">
        <v>30</v>
      </c>
      <c r="DU32" s="117">
        <f>AD$2</f>
        <v>1</v>
      </c>
    </row>
    <row r="33" spans="1:125" x14ac:dyDescent="0.3">
      <c r="A33" s="2"/>
      <c r="C33" s="2"/>
      <c r="D33" s="2"/>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DP33" s="120" t="s">
        <v>63</v>
      </c>
      <c r="DR33" s="134" t="s">
        <v>355</v>
      </c>
      <c r="DT33" s="117">
        <v>31</v>
      </c>
      <c r="DU33" s="117">
        <f>AE$2</f>
        <v>2</v>
      </c>
    </row>
    <row r="34" spans="1:125" x14ac:dyDescent="0.3">
      <c r="A34" s="2"/>
      <c r="C34" s="2"/>
      <c r="D34" s="2"/>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DP34" s="120" t="s">
        <v>66</v>
      </c>
      <c r="DR34" s="134" t="s">
        <v>355</v>
      </c>
      <c r="DT34" s="117">
        <v>32</v>
      </c>
      <c r="DU34" s="117">
        <f>AF$2</f>
        <v>2</v>
      </c>
    </row>
    <row r="35" spans="1:125" x14ac:dyDescent="0.3">
      <c r="A35" s="2"/>
      <c r="C35" s="2"/>
      <c r="D35" s="2"/>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DP35" s="120" t="s">
        <v>68</v>
      </c>
      <c r="DR35" s="134" t="s">
        <v>355</v>
      </c>
      <c r="DT35" s="117">
        <v>33</v>
      </c>
      <c r="DU35" s="117">
        <f>AG$2</f>
        <v>2</v>
      </c>
    </row>
    <row r="36" spans="1:125" x14ac:dyDescent="0.3">
      <c r="A36" s="2"/>
      <c r="C36" s="2"/>
      <c r="D36" s="2"/>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DP36" s="120" t="s">
        <v>71</v>
      </c>
      <c r="DR36" s="134" t="s">
        <v>355</v>
      </c>
      <c r="DT36" s="117">
        <v>34</v>
      </c>
      <c r="DU36" s="117">
        <f>AH$2</f>
        <v>2</v>
      </c>
    </row>
    <row r="37" spans="1:125" x14ac:dyDescent="0.3">
      <c r="A37" s="2"/>
      <c r="C37" s="2"/>
      <c r="D37" s="2"/>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DP37" s="120" t="s">
        <v>72</v>
      </c>
      <c r="DR37" s="134" t="s">
        <v>355</v>
      </c>
      <c r="DT37" s="117">
        <v>35</v>
      </c>
      <c r="DU37" s="117">
        <f>AI$2</f>
        <v>2</v>
      </c>
    </row>
    <row r="38" spans="1:125" x14ac:dyDescent="0.3">
      <c r="A38" s="2"/>
      <c r="C38" s="2"/>
      <c r="D38" s="2"/>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DP38" s="120" t="s">
        <v>13</v>
      </c>
      <c r="DR38" s="134" t="s">
        <v>355</v>
      </c>
      <c r="DT38" s="117">
        <v>36</v>
      </c>
      <c r="DU38" s="117">
        <f>AJ$2</f>
        <v>1</v>
      </c>
    </row>
    <row r="39" spans="1:125" x14ac:dyDescent="0.3">
      <c r="A39" s="2"/>
      <c r="C39" s="2"/>
      <c r="D39" s="2"/>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DP39" s="120" t="s">
        <v>17</v>
      </c>
      <c r="DR39" s="134" t="s">
        <v>355</v>
      </c>
      <c r="DT39" s="117">
        <v>37</v>
      </c>
      <c r="DU39" s="117">
        <f>AK$2</f>
        <v>2</v>
      </c>
    </row>
    <row r="40" spans="1:125" x14ac:dyDescent="0.3">
      <c r="A40" s="2"/>
      <c r="C40" s="2"/>
      <c r="D40" s="2"/>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DP40" s="120" t="s">
        <v>21</v>
      </c>
      <c r="DR40" s="134" t="s">
        <v>355</v>
      </c>
      <c r="DT40" s="117">
        <v>38</v>
      </c>
      <c r="DU40" s="117">
        <f>AL$2</f>
        <v>1</v>
      </c>
    </row>
    <row r="41" spans="1:125" x14ac:dyDescent="0.3">
      <c r="A41" s="2"/>
      <c r="C41" s="2"/>
      <c r="D41" s="2"/>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DP41" s="120" t="s">
        <v>25</v>
      </c>
      <c r="DR41" s="134" t="s">
        <v>355</v>
      </c>
      <c r="DT41" s="117">
        <v>39</v>
      </c>
      <c r="DU41" s="117">
        <f>AM$2</f>
        <v>2</v>
      </c>
    </row>
    <row r="42" spans="1:125" x14ac:dyDescent="0.3">
      <c r="A42" s="2"/>
      <c r="C42" s="2"/>
      <c r="D42" s="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DP42" s="120" t="s">
        <v>27</v>
      </c>
      <c r="DR42" s="134" t="s">
        <v>355</v>
      </c>
      <c r="DT42" s="117">
        <v>40</v>
      </c>
      <c r="DU42" s="117">
        <f>AN$2</f>
        <v>2</v>
      </c>
    </row>
    <row r="43" spans="1:125" x14ac:dyDescent="0.3">
      <c r="A43" s="2"/>
      <c r="C43" s="2"/>
      <c r="D43" s="2"/>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DP43" s="120" t="s">
        <v>29</v>
      </c>
      <c r="DR43" s="134" t="s">
        <v>355</v>
      </c>
      <c r="DT43" s="117">
        <v>41</v>
      </c>
      <c r="DU43" s="117">
        <f>AO$2</f>
        <v>2</v>
      </c>
    </row>
    <row r="44" spans="1:125" x14ac:dyDescent="0.3">
      <c r="A44" s="2"/>
      <c r="C44" s="2"/>
      <c r="D44" s="2"/>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DP44" s="120" t="s">
        <v>32</v>
      </c>
      <c r="DR44" s="134" t="s">
        <v>355</v>
      </c>
      <c r="DT44" s="117">
        <v>42</v>
      </c>
      <c r="DU44" s="117">
        <f>AP$2</f>
        <v>2</v>
      </c>
    </row>
    <row r="45" spans="1:125" x14ac:dyDescent="0.3">
      <c r="A45" s="2"/>
      <c r="C45" s="2"/>
      <c r="D45" s="2"/>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DP45" s="120" t="s">
        <v>34</v>
      </c>
      <c r="DR45" s="134" t="s">
        <v>355</v>
      </c>
      <c r="DT45" s="117">
        <v>43</v>
      </c>
      <c r="DU45" s="117">
        <f>AQ$2</f>
        <v>2</v>
      </c>
    </row>
    <row r="46" spans="1:125" x14ac:dyDescent="0.3">
      <c r="A46" s="2"/>
      <c r="C46" s="2"/>
      <c r="D46" s="2"/>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DP46" s="120" t="s">
        <v>36</v>
      </c>
      <c r="DR46" s="134" t="s">
        <v>355</v>
      </c>
      <c r="DT46" s="117">
        <v>44</v>
      </c>
      <c r="DU46" s="117">
        <f>AR$2</f>
        <v>2</v>
      </c>
    </row>
    <row r="47" spans="1:125" x14ac:dyDescent="0.3">
      <c r="A47" s="2"/>
      <c r="C47" s="2"/>
      <c r="D47" s="2"/>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DP47" s="120" t="s">
        <v>39</v>
      </c>
      <c r="DR47" s="134" t="s">
        <v>355</v>
      </c>
      <c r="DT47" s="117">
        <v>45</v>
      </c>
      <c r="DU47" s="117">
        <f>AS$2</f>
        <v>1</v>
      </c>
    </row>
    <row r="48" spans="1:125" x14ac:dyDescent="0.3">
      <c r="A48" s="2"/>
      <c r="C48" s="2"/>
      <c r="D48" s="2"/>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DP48" s="120" t="s">
        <v>42</v>
      </c>
      <c r="DR48" s="134" t="s">
        <v>355</v>
      </c>
      <c r="DT48" s="117">
        <v>46</v>
      </c>
      <c r="DU48" s="117">
        <f>AT$2</f>
        <v>2</v>
      </c>
    </row>
    <row r="49" spans="1:125" x14ac:dyDescent="0.3">
      <c r="A49" s="2"/>
      <c r="C49" s="2"/>
      <c r="D49" s="2"/>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DP49" s="120" t="s">
        <v>45</v>
      </c>
      <c r="DR49" s="134" t="s">
        <v>355</v>
      </c>
      <c r="DT49" s="117">
        <v>47</v>
      </c>
      <c r="DU49" s="117">
        <f>AU$2</f>
        <v>3</v>
      </c>
    </row>
    <row r="50" spans="1:125" x14ac:dyDescent="0.3">
      <c r="A50" s="2"/>
      <c r="C50" s="2"/>
      <c r="D50" s="2"/>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DP50" s="120" t="s">
        <v>48</v>
      </c>
      <c r="DR50" s="134" t="s">
        <v>355</v>
      </c>
      <c r="DT50" s="117">
        <v>48</v>
      </c>
      <c r="DU50" s="117">
        <f>AV$2</f>
        <v>2</v>
      </c>
    </row>
    <row r="51" spans="1:125" x14ac:dyDescent="0.3">
      <c r="A51" s="2"/>
      <c r="C51" s="2"/>
      <c r="D51" s="2"/>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DP51" s="120" t="s">
        <v>50</v>
      </c>
      <c r="DR51" s="134" t="s">
        <v>355</v>
      </c>
      <c r="DT51" s="117">
        <v>49</v>
      </c>
      <c r="DU51" s="117">
        <f>AW$2</f>
        <v>2</v>
      </c>
    </row>
    <row r="52" spans="1:125" x14ac:dyDescent="0.3">
      <c r="A52" s="2"/>
      <c r="C52" s="2"/>
      <c r="D52" s="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DP52" s="120" t="s">
        <v>52</v>
      </c>
      <c r="DR52" s="134" t="s">
        <v>355</v>
      </c>
      <c r="DT52" s="117">
        <v>50</v>
      </c>
      <c r="DU52" s="117">
        <f>AX$2</f>
        <v>1</v>
      </c>
    </row>
    <row r="53" spans="1:125" x14ac:dyDescent="0.3">
      <c r="A53" s="2"/>
      <c r="C53" s="2"/>
      <c r="D53" s="2"/>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DP53" s="120" t="s">
        <v>55</v>
      </c>
      <c r="DR53" s="134" t="s">
        <v>355</v>
      </c>
      <c r="DT53" s="117">
        <v>51</v>
      </c>
      <c r="DU53" s="117">
        <f>AY$2</f>
        <v>1</v>
      </c>
    </row>
    <row r="54" spans="1:125" x14ac:dyDescent="0.3">
      <c r="A54" s="2"/>
      <c r="C54" s="2"/>
      <c r="D54" s="2"/>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DP54" s="120" t="s">
        <v>58</v>
      </c>
      <c r="DR54" s="134" t="s">
        <v>355</v>
      </c>
      <c r="DT54" s="117">
        <v>52</v>
      </c>
      <c r="DU54" s="117">
        <f>AZ$2</f>
        <v>39500</v>
      </c>
    </row>
    <row r="55" spans="1:125" x14ac:dyDescent="0.3">
      <c r="A55" s="2"/>
      <c r="C55" s="2"/>
      <c r="D55" s="2"/>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DP55" s="120" t="s">
        <v>62</v>
      </c>
      <c r="DR55" s="134" t="s">
        <v>355</v>
      </c>
      <c r="DT55" s="117">
        <v>53</v>
      </c>
      <c r="DU55" s="117">
        <f>BA$2</f>
        <v>2</v>
      </c>
    </row>
    <row r="56" spans="1:125" x14ac:dyDescent="0.3">
      <c r="A56" s="2"/>
      <c r="C56" s="2"/>
      <c r="D56" s="2"/>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DP56" s="120" t="s">
        <v>64</v>
      </c>
      <c r="DR56" s="134" t="s">
        <v>355</v>
      </c>
      <c r="DT56" s="117">
        <v>54</v>
      </c>
      <c r="DU56" s="117">
        <f>BB$2</f>
        <v>50</v>
      </c>
    </row>
    <row r="57" spans="1:125" x14ac:dyDescent="0.3">
      <c r="A57" s="2"/>
      <c r="C57" s="2"/>
      <c r="D57" s="2"/>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DP57" s="120" t="s">
        <v>67</v>
      </c>
      <c r="DR57" s="134" t="s">
        <v>355</v>
      </c>
      <c r="DT57" s="117">
        <v>55</v>
      </c>
      <c r="DU57" s="117">
        <f>BC$2</f>
        <v>42.47</v>
      </c>
    </row>
    <row r="58" spans="1:125" x14ac:dyDescent="0.3">
      <c r="A58" s="2"/>
      <c r="C58" s="2"/>
      <c r="D58" s="2"/>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DP58" s="120" t="s">
        <v>69</v>
      </c>
      <c r="DR58" s="134" t="s">
        <v>355</v>
      </c>
      <c r="DT58" s="117">
        <v>56</v>
      </c>
      <c r="DU58" s="117">
        <f>BD$2</f>
        <v>0</v>
      </c>
    </row>
    <row r="59" spans="1:125" x14ac:dyDescent="0.3">
      <c r="A59" s="2"/>
      <c r="C59" s="2"/>
      <c r="D59" s="2"/>
      <c r="DP59" s="120" t="s">
        <v>362</v>
      </c>
      <c r="DR59" s="134" t="s">
        <v>355</v>
      </c>
      <c r="DT59" s="117">
        <v>57</v>
      </c>
      <c r="DU59" s="117">
        <f>C58</f>
        <v>0</v>
      </c>
    </row>
    <row r="60" spans="1:125" x14ac:dyDescent="0.3">
      <c r="A60" s="2"/>
      <c r="C60" s="2"/>
      <c r="D60" s="2"/>
      <c r="DP60" s="118" t="s">
        <v>87</v>
      </c>
      <c r="DQ60" s="117" t="s">
        <v>363</v>
      </c>
      <c r="DR60" s="134" t="s">
        <v>364</v>
      </c>
      <c r="DT60" s="117">
        <v>58</v>
      </c>
      <c r="DU60" s="131">
        <f>BG2</f>
        <v>8.3980799999999984</v>
      </c>
    </row>
    <row r="61" spans="1:125" x14ac:dyDescent="0.3">
      <c r="A61" s="2"/>
      <c r="C61" s="2"/>
      <c r="D61" s="2"/>
      <c r="DP61" s="120" t="s">
        <v>88</v>
      </c>
      <c r="DR61" s="134" t="s">
        <v>365</v>
      </c>
      <c r="DT61" s="117">
        <v>59</v>
      </c>
      <c r="DU61" s="117">
        <v>1.9089728669052337</v>
      </c>
    </row>
    <row r="62" spans="1:125" x14ac:dyDescent="0.3">
      <c r="A62" s="2"/>
      <c r="C62" s="2"/>
      <c r="D62" s="2"/>
      <c r="DP62" s="120" t="s">
        <v>89</v>
      </c>
      <c r="DR62" s="134" t="s">
        <v>366</v>
      </c>
      <c r="DS62" s="117">
        <v>59</v>
      </c>
      <c r="DT62" s="117">
        <v>60</v>
      </c>
      <c r="DU62" s="131">
        <v>14.77766517371783</v>
      </c>
    </row>
    <row r="63" spans="1:125" x14ac:dyDescent="0.3">
      <c r="A63" s="2"/>
      <c r="C63" s="2"/>
      <c r="D63" s="2"/>
      <c r="DP63" s="120" t="s">
        <v>90</v>
      </c>
      <c r="DR63" s="134" t="s">
        <v>365</v>
      </c>
      <c r="DT63" s="117">
        <v>61</v>
      </c>
      <c r="DU63" s="117">
        <v>0</v>
      </c>
    </row>
    <row r="64" spans="1:125" x14ac:dyDescent="0.3">
      <c r="A64" s="2"/>
      <c r="C64" s="2"/>
      <c r="D64" s="2"/>
      <c r="DP64" s="120" t="s">
        <v>91</v>
      </c>
      <c r="DR64" s="134" t="s">
        <v>366</v>
      </c>
      <c r="DS64" s="117">
        <v>61</v>
      </c>
      <c r="DT64" s="117">
        <v>62</v>
      </c>
      <c r="DU64" s="131">
        <v>29.55533034743566</v>
      </c>
    </row>
    <row r="65" spans="1:125" x14ac:dyDescent="0.3">
      <c r="A65" s="2"/>
      <c r="C65" s="2"/>
      <c r="D65" s="2"/>
      <c r="DP65" s="120" t="s">
        <v>6</v>
      </c>
      <c r="DR65" s="134" t="s">
        <v>365</v>
      </c>
      <c r="DT65" s="117">
        <v>63</v>
      </c>
      <c r="DU65" s="117">
        <v>1.9089728669052337</v>
      </c>
    </row>
    <row r="66" spans="1:125" x14ac:dyDescent="0.3">
      <c r="A66" s="2"/>
      <c r="C66" s="2"/>
      <c r="D66" s="2"/>
      <c r="DP66" s="120" t="s">
        <v>92</v>
      </c>
      <c r="DR66" s="134" t="s">
        <v>366</v>
      </c>
      <c r="DS66" s="117">
        <v>63</v>
      </c>
      <c r="DT66" s="117">
        <v>64</v>
      </c>
      <c r="DU66" s="131">
        <v>24.629441956196384</v>
      </c>
    </row>
    <row r="67" spans="1:125" x14ac:dyDescent="0.3">
      <c r="A67" s="2"/>
      <c r="C67" s="2"/>
      <c r="D67" s="2"/>
      <c r="DP67" s="120" t="s">
        <v>93</v>
      </c>
      <c r="DR67" s="134" t="s">
        <v>365</v>
      </c>
      <c r="DT67" s="117">
        <v>65</v>
      </c>
      <c r="DU67" s="117">
        <v>12.486524268053728</v>
      </c>
    </row>
    <row r="68" spans="1:125" x14ac:dyDescent="0.3">
      <c r="A68" s="2"/>
      <c r="C68" s="2"/>
      <c r="D68" s="2"/>
      <c r="DP68" s="120" t="s">
        <v>102</v>
      </c>
      <c r="DR68" s="134" t="s">
        <v>366</v>
      </c>
      <c r="DS68" s="117">
        <v>65</v>
      </c>
      <c r="DT68" s="117">
        <v>66</v>
      </c>
      <c r="DU68" s="131">
        <v>25.095886185324609</v>
      </c>
    </row>
    <row r="69" spans="1:125" x14ac:dyDescent="0.3">
      <c r="A69" s="2"/>
      <c r="C69" s="2"/>
      <c r="D69" s="2"/>
      <c r="DP69" s="120" t="s">
        <v>95</v>
      </c>
      <c r="DR69" s="134" t="s">
        <v>365</v>
      </c>
      <c r="DT69" s="117">
        <v>67</v>
      </c>
      <c r="DU69" s="117">
        <v>16.304470001864196</v>
      </c>
    </row>
    <row r="70" spans="1:125" x14ac:dyDescent="0.3">
      <c r="A70" s="2"/>
      <c r="C70" s="2"/>
      <c r="D70" s="2"/>
      <c r="DP70" s="120" t="s">
        <v>367</v>
      </c>
      <c r="DR70" s="134" t="s">
        <v>366</v>
      </c>
      <c r="DS70" s="117">
        <v>67</v>
      </c>
      <c r="DT70" s="117">
        <v>68</v>
      </c>
      <c r="DU70" s="131">
        <v>94.058323662674496</v>
      </c>
    </row>
    <row r="71" spans="1:125" x14ac:dyDescent="0.3">
      <c r="A71" s="2"/>
      <c r="C71" s="2"/>
      <c r="D71" s="2"/>
      <c r="DP71" s="120" t="s">
        <v>97</v>
      </c>
      <c r="DR71" s="134" t="s">
        <v>368</v>
      </c>
      <c r="DT71" s="117">
        <v>69</v>
      </c>
      <c r="DU71" s="131" t="str">
        <f>BR2</f>
        <v>High</v>
      </c>
    </row>
    <row r="72" spans="1:125" x14ac:dyDescent="0.3">
      <c r="A72" s="2"/>
      <c r="C72" s="2"/>
      <c r="D72" s="2"/>
      <c r="DP72" s="120" t="s">
        <v>98</v>
      </c>
      <c r="DR72" s="134" t="s">
        <v>368</v>
      </c>
      <c r="DT72" s="117">
        <v>70</v>
      </c>
      <c r="DU72" s="131" t="str">
        <f>BS2</f>
        <v>High</v>
      </c>
    </row>
    <row r="73" spans="1:125" x14ac:dyDescent="0.3">
      <c r="A73" s="2"/>
      <c r="C73" s="2"/>
      <c r="D73" s="2"/>
      <c r="DP73" s="120" t="s">
        <v>99</v>
      </c>
      <c r="DR73" s="134" t="s">
        <v>368</v>
      </c>
      <c r="DT73" s="117">
        <v>71</v>
      </c>
      <c r="DU73" s="131" t="str">
        <f>BT2</f>
        <v>Low</v>
      </c>
    </row>
    <row r="74" spans="1:125" x14ac:dyDescent="0.3">
      <c r="A74" s="2"/>
      <c r="C74" s="2"/>
      <c r="D74" s="2"/>
      <c r="DP74" s="120" t="s">
        <v>100</v>
      </c>
      <c r="DR74" s="134" t="s">
        <v>368</v>
      </c>
      <c r="DT74" s="117">
        <v>72</v>
      </c>
      <c r="DU74" s="131" t="str">
        <f>BU2</f>
        <v>High</v>
      </c>
    </row>
    <row r="75" spans="1:125" x14ac:dyDescent="0.3">
      <c r="A75" s="2"/>
      <c r="C75" s="2"/>
      <c r="D75" s="2"/>
      <c r="DP75" s="120" t="s">
        <v>101</v>
      </c>
      <c r="DR75" s="134" t="s">
        <v>368</v>
      </c>
      <c r="DT75" s="117">
        <v>73</v>
      </c>
      <c r="DU75" s="117" t="str">
        <f>IF(DU61&lt;=5,"Low",IF(AND(DU61&gt;5,DU61&lt;=10),"Medium",IF(AND(DU61&gt;10,DU61&lt;=15),"High","Extreme")))</f>
        <v>Low</v>
      </c>
    </row>
    <row r="76" spans="1:125" x14ac:dyDescent="0.3">
      <c r="A76" s="2"/>
      <c r="C76" s="2"/>
      <c r="D76" s="2"/>
      <c r="DP76" s="120" t="s">
        <v>369</v>
      </c>
      <c r="DR76" s="134" t="s">
        <v>370</v>
      </c>
      <c r="DT76" s="117">
        <v>74</v>
      </c>
      <c r="DU76" s="117" t="str">
        <f>IF(DU63&lt;=5,"Low",IF(AND(DU63&gt;5,DU63&lt;=10),"Medium",IF(AND(DU63&gt;10,DU63&lt;=15),"High","Extreme")))</f>
        <v>Low</v>
      </c>
    </row>
    <row r="77" spans="1:125" x14ac:dyDescent="0.3">
      <c r="A77" s="2"/>
      <c r="C77" s="2"/>
      <c r="D77" s="2"/>
      <c r="DP77" s="120" t="s">
        <v>371</v>
      </c>
      <c r="DR77" s="134" t="s">
        <v>370</v>
      </c>
      <c r="DT77" s="117">
        <v>75</v>
      </c>
      <c r="DU77" s="117" t="str">
        <f>IF(DU65&lt;=5,"Low",IF(AND(DU65&gt;5,DU65&lt;=10),"Medium",IF(AND(DU65&gt;10,DU65&lt;=15),"High","Extreme")))</f>
        <v>Low</v>
      </c>
    </row>
    <row r="78" spans="1:125" x14ac:dyDescent="0.3">
      <c r="A78" s="2"/>
      <c r="C78" s="2"/>
      <c r="D78" s="2"/>
      <c r="DP78" s="120" t="s">
        <v>372</v>
      </c>
      <c r="DR78" s="134" t="s">
        <v>370</v>
      </c>
      <c r="DT78" s="117">
        <v>76</v>
      </c>
      <c r="DU78" s="117" t="str">
        <f>IF(DU67&lt;=10,"Low",IF(AND(DU67&gt;10,DU67&lt;=25),"Medium",IF(AND(DU67&gt;25,DU67&lt;=40),"High","Extreme")))</f>
        <v>Medium</v>
      </c>
    </row>
    <row r="79" spans="1:125" x14ac:dyDescent="0.3">
      <c r="A79" s="2"/>
      <c r="C79" s="2"/>
      <c r="D79" s="2"/>
      <c r="DP79" s="120" t="s">
        <v>373</v>
      </c>
      <c r="DR79" s="134" t="s">
        <v>370</v>
      </c>
      <c r="DT79" s="117">
        <v>77</v>
      </c>
      <c r="DU79" s="117" t="str">
        <f>IF(DU68&lt;=10,"Low",IF(AND(DU68&gt;10,DU68&lt;=25),"Medium",IF(AND(DU68&gt;25,DU68&lt;=40),"High","Extreme")))</f>
        <v>High</v>
      </c>
    </row>
    <row r="80" spans="1:125" x14ac:dyDescent="0.3">
      <c r="A80" s="2"/>
      <c r="C80" s="2"/>
      <c r="D80" s="2"/>
      <c r="DR80" s="135" t="s">
        <v>374</v>
      </c>
    </row>
    <row r="81" spans="1:119" x14ac:dyDescent="0.3">
      <c r="A81" s="2"/>
      <c r="C81" s="2"/>
      <c r="D81" s="2"/>
    </row>
    <row r="82" spans="1:119" x14ac:dyDescent="0.3">
      <c r="A82" s="2"/>
      <c r="C82" s="2"/>
      <c r="D82" s="2"/>
    </row>
    <row r="83" spans="1:119" x14ac:dyDescent="0.3">
      <c r="A83" s="2"/>
      <c r="C83" s="2"/>
      <c r="D83" s="2"/>
    </row>
    <row r="84" spans="1:119" x14ac:dyDescent="0.3">
      <c r="A84" s="2"/>
      <c r="C84" s="2"/>
      <c r="D84" s="2"/>
    </row>
    <row r="85" spans="1:119" x14ac:dyDescent="0.3">
      <c r="A85" s="2"/>
      <c r="C85" s="2"/>
      <c r="D85" s="2"/>
    </row>
    <row r="86" spans="1:119" x14ac:dyDescent="0.3">
      <c r="A86" s="2"/>
      <c r="C86" s="2"/>
      <c r="D86" s="2"/>
    </row>
    <row r="87" spans="1:119" x14ac:dyDescent="0.3">
      <c r="A87" s="2"/>
      <c r="C87" s="2"/>
      <c r="D87" s="2"/>
      <c r="DO87" s="119"/>
    </row>
    <row r="88" spans="1:119" x14ac:dyDescent="0.3">
      <c r="A88" s="2"/>
      <c r="C88" s="2"/>
      <c r="D88" s="2"/>
    </row>
    <row r="89" spans="1:119" x14ac:dyDescent="0.3">
      <c r="C89" s="2"/>
      <c r="D89" s="2"/>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K107"/>
  <sheetViews>
    <sheetView workbookViewId="0">
      <selection activeCell="K17" sqref="K17"/>
    </sheetView>
  </sheetViews>
  <sheetFormatPr defaultColWidth="9" defaultRowHeight="14.4" x14ac:dyDescent="0.3"/>
  <cols>
    <col min="1" max="1" width="9" style="66" customWidth="1"/>
    <col min="2" max="2" width="9" style="66"/>
    <col min="3" max="3" width="35.42578125" style="66" customWidth="1"/>
    <col min="4" max="4" width="41.5703125" style="66" customWidth="1"/>
    <col min="5" max="5" width="11.42578125" style="66" customWidth="1"/>
    <col min="6" max="6" width="16.42578125" customWidth="1"/>
    <col min="7" max="7" width="8.85546875" style="66" customWidth="1"/>
    <col min="8" max="8" width="31.42578125" style="66" customWidth="1"/>
    <col min="9" max="9" width="5" style="66" customWidth="1"/>
    <col min="10" max="10" width="8.85546875" style="66" customWidth="1"/>
    <col min="11" max="11" width="31.42578125" style="66" customWidth="1"/>
    <col min="12" max="12" width="5" customWidth="1"/>
    <col min="13" max="14" width="8.85546875" customWidth="1"/>
    <col min="15" max="15" width="37.42578125" customWidth="1"/>
    <col min="16" max="56" width="8.85546875" customWidth="1"/>
  </cols>
  <sheetData>
    <row r="1" spans="1:11" x14ac:dyDescent="0.3">
      <c r="A1" s="65" t="s">
        <v>105</v>
      </c>
    </row>
    <row r="2" spans="1:11" ht="28.8" x14ac:dyDescent="0.3">
      <c r="A2" s="67" t="s">
        <v>110</v>
      </c>
      <c r="B2" s="67" t="s">
        <v>111</v>
      </c>
      <c r="C2" s="67" t="s">
        <v>112</v>
      </c>
      <c r="D2" s="67" t="s">
        <v>113</v>
      </c>
      <c r="E2" s="67" t="s">
        <v>114</v>
      </c>
      <c r="F2" s="320" t="s">
        <v>384</v>
      </c>
      <c r="G2" s="67" t="s">
        <v>115</v>
      </c>
      <c r="H2" s="67" t="s">
        <v>116</v>
      </c>
      <c r="I2" s="65"/>
      <c r="J2" s="67" t="s">
        <v>117</v>
      </c>
      <c r="K2" s="67" t="s">
        <v>375</v>
      </c>
    </row>
    <row r="3" spans="1:11" x14ac:dyDescent="0.3">
      <c r="A3" s="68">
        <v>1</v>
      </c>
      <c r="B3" s="68" t="s">
        <v>141</v>
      </c>
      <c r="C3" s="68" t="s">
        <v>142</v>
      </c>
      <c r="D3" s="68" t="s">
        <v>74</v>
      </c>
      <c r="E3" s="68" t="s">
        <v>143</v>
      </c>
      <c r="F3" s="66" t="s">
        <v>385</v>
      </c>
      <c r="G3" s="66" t="s">
        <v>144</v>
      </c>
      <c r="H3" s="66" t="s">
        <v>145</v>
      </c>
      <c r="I3" s="69" t="s">
        <v>144</v>
      </c>
    </row>
    <row r="4" spans="1:11" x14ac:dyDescent="0.3">
      <c r="A4" s="68">
        <v>2</v>
      </c>
      <c r="B4" s="68" t="s">
        <v>154</v>
      </c>
      <c r="C4" s="68" t="s">
        <v>142</v>
      </c>
      <c r="D4" s="68" t="s">
        <v>75</v>
      </c>
      <c r="E4" s="68" t="s">
        <v>143</v>
      </c>
      <c r="F4" s="66" t="s">
        <v>385</v>
      </c>
      <c r="G4" s="66" t="s">
        <v>144</v>
      </c>
      <c r="H4" s="66" t="s">
        <v>155</v>
      </c>
      <c r="I4" s="69" t="s">
        <v>144</v>
      </c>
    </row>
    <row r="5" spans="1:11" x14ac:dyDescent="0.3">
      <c r="A5" s="68">
        <v>3</v>
      </c>
      <c r="B5" s="68" t="s">
        <v>146</v>
      </c>
      <c r="C5" s="68" t="s">
        <v>142</v>
      </c>
      <c r="D5" s="68" t="s">
        <v>76</v>
      </c>
      <c r="E5" s="68" t="s">
        <v>143</v>
      </c>
      <c r="F5" s="66" t="s">
        <v>385</v>
      </c>
      <c r="G5" s="66" t="s">
        <v>144</v>
      </c>
      <c r="H5" s="66" t="s">
        <v>155</v>
      </c>
      <c r="I5" s="70" t="s">
        <v>144</v>
      </c>
    </row>
    <row r="6" spans="1:11" x14ac:dyDescent="0.3">
      <c r="A6" s="68">
        <v>4</v>
      </c>
      <c r="B6" s="68" t="s">
        <v>158</v>
      </c>
      <c r="C6" s="68" t="s">
        <v>142</v>
      </c>
      <c r="D6" s="68" t="s">
        <v>73</v>
      </c>
      <c r="E6" s="68" t="s">
        <v>143</v>
      </c>
      <c r="F6" s="66" t="s">
        <v>386</v>
      </c>
      <c r="G6" s="66" t="s">
        <v>144</v>
      </c>
      <c r="H6" s="66" t="s">
        <v>159</v>
      </c>
      <c r="I6" s="70" t="s">
        <v>144</v>
      </c>
    </row>
    <row r="7" spans="1:11" x14ac:dyDescent="0.3">
      <c r="A7" s="68">
        <v>5</v>
      </c>
      <c r="B7" s="68" t="s">
        <v>161</v>
      </c>
      <c r="C7" s="68" t="s">
        <v>142</v>
      </c>
      <c r="D7" s="68" t="s">
        <v>77</v>
      </c>
      <c r="E7" s="68" t="s">
        <v>143</v>
      </c>
      <c r="F7" s="66" t="s">
        <v>385</v>
      </c>
      <c r="G7" s="66" t="s">
        <v>144</v>
      </c>
      <c r="H7" s="66" t="s">
        <v>145</v>
      </c>
      <c r="I7" s="70" t="s">
        <v>144</v>
      </c>
    </row>
    <row r="8" spans="1:11" x14ac:dyDescent="0.3">
      <c r="A8" s="68">
        <v>6</v>
      </c>
      <c r="B8" s="68" t="s">
        <v>164</v>
      </c>
      <c r="C8" s="68" t="s">
        <v>142</v>
      </c>
      <c r="D8" s="68" t="s">
        <v>78</v>
      </c>
      <c r="E8" s="68" t="s">
        <v>143</v>
      </c>
      <c r="F8" s="66" t="s">
        <v>385</v>
      </c>
      <c r="G8" s="66" t="s">
        <v>144</v>
      </c>
      <c r="H8" s="66" t="s">
        <v>165</v>
      </c>
      <c r="I8" s="70" t="s">
        <v>144</v>
      </c>
    </row>
    <row r="9" spans="1:11" x14ac:dyDescent="0.3">
      <c r="A9" s="68">
        <v>7</v>
      </c>
      <c r="B9" s="68" t="s">
        <v>168</v>
      </c>
      <c r="C9" s="68" t="s">
        <v>142</v>
      </c>
      <c r="D9" s="68" t="s">
        <v>79</v>
      </c>
      <c r="E9" s="68" t="s">
        <v>143</v>
      </c>
      <c r="F9" s="66" t="s">
        <v>385</v>
      </c>
      <c r="G9" s="66" t="s">
        <v>144</v>
      </c>
      <c r="H9" s="66" t="s">
        <v>169</v>
      </c>
      <c r="I9" s="70" t="s">
        <v>144</v>
      </c>
    </row>
    <row r="10" spans="1:11" x14ac:dyDescent="0.3">
      <c r="A10" s="68">
        <v>8</v>
      </c>
      <c r="B10" s="68" t="s">
        <v>170</v>
      </c>
      <c r="C10" s="68" t="s">
        <v>142</v>
      </c>
      <c r="D10" s="68" t="s">
        <v>171</v>
      </c>
      <c r="E10" s="68" t="s">
        <v>143</v>
      </c>
      <c r="F10" s="66" t="s">
        <v>385</v>
      </c>
      <c r="G10" s="66" t="s">
        <v>144</v>
      </c>
      <c r="H10" s="66" t="s">
        <v>172</v>
      </c>
      <c r="I10" s="70" t="s">
        <v>144</v>
      </c>
    </row>
    <row r="11" spans="1:11" x14ac:dyDescent="0.3">
      <c r="A11" s="68">
        <v>9</v>
      </c>
      <c r="B11" s="68" t="s">
        <v>173</v>
      </c>
      <c r="C11" s="68" t="s">
        <v>142</v>
      </c>
      <c r="D11" s="68" t="s">
        <v>171</v>
      </c>
      <c r="E11" s="68" t="s">
        <v>143</v>
      </c>
      <c r="F11" s="66" t="s">
        <v>385</v>
      </c>
      <c r="G11" s="66" t="s">
        <v>144</v>
      </c>
      <c r="H11" s="66" t="s">
        <v>174</v>
      </c>
      <c r="I11" s="70" t="s">
        <v>144</v>
      </c>
    </row>
    <row r="12" spans="1:11" x14ac:dyDescent="0.3">
      <c r="A12" s="68">
        <v>10</v>
      </c>
      <c r="B12" s="68" t="s">
        <v>175</v>
      </c>
      <c r="C12" s="68" t="s">
        <v>142</v>
      </c>
      <c r="D12" s="68" t="s">
        <v>176</v>
      </c>
      <c r="E12" s="68" t="s">
        <v>143</v>
      </c>
      <c r="F12" s="66" t="s">
        <v>385</v>
      </c>
      <c r="G12" s="66" t="s">
        <v>144</v>
      </c>
      <c r="H12" s="66" t="s">
        <v>172</v>
      </c>
      <c r="I12" s="70" t="s">
        <v>144</v>
      </c>
    </row>
    <row r="13" spans="1:11" x14ac:dyDescent="0.3">
      <c r="A13" s="68">
        <v>11</v>
      </c>
      <c r="B13" s="68" t="s">
        <v>177</v>
      </c>
      <c r="C13" s="68" t="s">
        <v>142</v>
      </c>
      <c r="D13" s="68" t="s">
        <v>176</v>
      </c>
      <c r="E13" s="68" t="s">
        <v>143</v>
      </c>
      <c r="F13" s="66" t="s">
        <v>385</v>
      </c>
      <c r="G13" s="66" t="s">
        <v>144</v>
      </c>
      <c r="H13" s="66" t="s">
        <v>174</v>
      </c>
      <c r="I13" s="70" t="s">
        <v>144</v>
      </c>
    </row>
    <row r="14" spans="1:11" x14ac:dyDescent="0.3">
      <c r="A14" s="68">
        <v>12</v>
      </c>
      <c r="B14" s="68" t="s">
        <v>178</v>
      </c>
      <c r="C14" s="68" t="s">
        <v>142</v>
      </c>
      <c r="D14" s="68" t="s">
        <v>84</v>
      </c>
      <c r="E14" s="68" t="s">
        <v>143</v>
      </c>
      <c r="F14" s="66" t="s">
        <v>386</v>
      </c>
      <c r="G14" s="66" t="s">
        <v>144</v>
      </c>
      <c r="H14" s="66" t="s">
        <v>145</v>
      </c>
      <c r="I14" s="70" t="s">
        <v>144</v>
      </c>
    </row>
    <row r="15" spans="1:11" x14ac:dyDescent="0.3">
      <c r="A15" s="68">
        <v>13</v>
      </c>
      <c r="B15" s="68" t="s">
        <v>179</v>
      </c>
      <c r="C15" s="68" t="s">
        <v>142</v>
      </c>
      <c r="D15" s="68" t="s">
        <v>11</v>
      </c>
      <c r="E15" s="68" t="s">
        <v>112</v>
      </c>
      <c r="F15" s="66" t="s">
        <v>385</v>
      </c>
      <c r="G15" s="66">
        <v>1</v>
      </c>
      <c r="H15" s="66" t="s">
        <v>12</v>
      </c>
      <c r="I15" s="70">
        <f>G15</f>
        <v>1</v>
      </c>
      <c r="K15" s="66" t="s">
        <v>12</v>
      </c>
    </row>
    <row r="16" spans="1:11" x14ac:dyDescent="0.3">
      <c r="F16" s="66"/>
      <c r="G16" s="66">
        <v>2</v>
      </c>
      <c r="H16" s="66" t="s">
        <v>180</v>
      </c>
      <c r="I16" s="70">
        <f t="shared" ref="I16:I86" si="0">G16</f>
        <v>2</v>
      </c>
      <c r="K16" s="66" t="s">
        <v>180</v>
      </c>
    </row>
    <row r="17" spans="1:11" x14ac:dyDescent="0.3">
      <c r="F17" s="66"/>
      <c r="G17" s="66">
        <v>3</v>
      </c>
      <c r="H17" s="66" t="s">
        <v>182</v>
      </c>
      <c r="I17" s="70">
        <f t="shared" si="0"/>
        <v>3</v>
      </c>
      <c r="K17" s="66" t="s">
        <v>182</v>
      </c>
    </row>
    <row r="18" spans="1:11" x14ac:dyDescent="0.3">
      <c r="F18" s="66"/>
      <c r="G18" s="66">
        <v>4</v>
      </c>
      <c r="H18" s="66" t="s">
        <v>183</v>
      </c>
      <c r="I18" s="70">
        <f t="shared" si="0"/>
        <v>4</v>
      </c>
      <c r="K18" s="66" t="s">
        <v>183</v>
      </c>
    </row>
    <row r="19" spans="1:11" x14ac:dyDescent="0.3">
      <c r="A19" s="68">
        <v>14</v>
      </c>
      <c r="B19" s="68" t="s">
        <v>185</v>
      </c>
      <c r="C19" s="68" t="s">
        <v>150</v>
      </c>
      <c r="D19" s="68" t="s">
        <v>15</v>
      </c>
      <c r="E19" s="68" t="s">
        <v>112</v>
      </c>
      <c r="F19" s="66" t="s">
        <v>385</v>
      </c>
      <c r="G19" s="66">
        <v>1</v>
      </c>
      <c r="H19" s="66" t="s">
        <v>153</v>
      </c>
      <c r="I19" s="70">
        <f t="shared" si="0"/>
        <v>1</v>
      </c>
      <c r="K19" s="66" t="s">
        <v>153</v>
      </c>
    </row>
    <row r="20" spans="1:11" x14ac:dyDescent="0.3">
      <c r="F20" s="66"/>
      <c r="G20" s="66">
        <v>2</v>
      </c>
      <c r="H20" s="66" t="s">
        <v>157</v>
      </c>
      <c r="I20" s="70">
        <f t="shared" si="0"/>
        <v>2</v>
      </c>
      <c r="K20" s="66" t="s">
        <v>157</v>
      </c>
    </row>
    <row r="21" spans="1:11" x14ac:dyDescent="0.3">
      <c r="F21" s="66"/>
      <c r="G21" s="66">
        <v>3</v>
      </c>
      <c r="H21" s="66" t="s">
        <v>16</v>
      </c>
      <c r="I21" s="70">
        <f t="shared" si="0"/>
        <v>3</v>
      </c>
      <c r="K21" s="66" t="s">
        <v>16</v>
      </c>
    </row>
    <row r="22" spans="1:11" x14ac:dyDescent="0.3">
      <c r="F22" s="66"/>
      <c r="G22" s="66">
        <v>4</v>
      </c>
      <c r="H22" s="66" t="s">
        <v>160</v>
      </c>
      <c r="I22" s="70">
        <f t="shared" si="0"/>
        <v>4</v>
      </c>
      <c r="K22" s="66" t="s">
        <v>160</v>
      </c>
    </row>
    <row r="23" spans="1:11" x14ac:dyDescent="0.3">
      <c r="F23" s="66"/>
      <c r="G23" s="66">
        <v>5</v>
      </c>
      <c r="H23" s="66" t="s">
        <v>163</v>
      </c>
      <c r="I23" s="70">
        <f t="shared" si="0"/>
        <v>5</v>
      </c>
      <c r="K23" s="66" t="s">
        <v>163</v>
      </c>
    </row>
    <row r="24" spans="1:11" x14ac:dyDescent="0.3">
      <c r="F24" s="66"/>
      <c r="G24" s="66">
        <v>6</v>
      </c>
      <c r="H24" s="66" t="s">
        <v>167</v>
      </c>
      <c r="I24" s="70">
        <f t="shared" si="0"/>
        <v>6</v>
      </c>
      <c r="K24" s="66" t="s">
        <v>167</v>
      </c>
    </row>
    <row r="25" spans="1:11" x14ac:dyDescent="0.3">
      <c r="A25" s="68">
        <v>15</v>
      </c>
      <c r="B25" s="68" t="s">
        <v>189</v>
      </c>
      <c r="C25" s="68" t="s">
        <v>150</v>
      </c>
      <c r="D25" s="71" t="s">
        <v>19</v>
      </c>
      <c r="E25" s="68" t="s">
        <v>112</v>
      </c>
      <c r="F25" s="66" t="s">
        <v>385</v>
      </c>
      <c r="G25" s="66">
        <v>1</v>
      </c>
      <c r="H25" s="66" t="s">
        <v>151</v>
      </c>
      <c r="I25" s="70">
        <f t="shared" si="0"/>
        <v>1</v>
      </c>
      <c r="K25" s="66" t="s">
        <v>151</v>
      </c>
    </row>
    <row r="26" spans="1:11" x14ac:dyDescent="0.3">
      <c r="D26" s="72"/>
      <c r="F26" s="66"/>
      <c r="G26" s="66">
        <v>2</v>
      </c>
      <c r="H26" s="66" t="s">
        <v>20</v>
      </c>
      <c r="I26" s="70">
        <f t="shared" si="0"/>
        <v>2</v>
      </c>
      <c r="K26" s="66" t="s">
        <v>20</v>
      </c>
    </row>
    <row r="27" spans="1:11" x14ac:dyDescent="0.3">
      <c r="A27" s="68">
        <v>16</v>
      </c>
      <c r="B27" s="68" t="s">
        <v>191</v>
      </c>
      <c r="C27" s="68" t="s">
        <v>150</v>
      </c>
      <c r="D27" s="71" t="s">
        <v>23</v>
      </c>
      <c r="E27" s="68" t="s">
        <v>112</v>
      </c>
      <c r="F27" s="66" t="s">
        <v>385</v>
      </c>
      <c r="G27" s="66">
        <v>1</v>
      </c>
      <c r="H27" s="66" t="s">
        <v>24</v>
      </c>
      <c r="I27" s="70">
        <f t="shared" si="0"/>
        <v>1</v>
      </c>
      <c r="K27" s="66" t="s">
        <v>24</v>
      </c>
    </row>
    <row r="28" spans="1:11" x14ac:dyDescent="0.3">
      <c r="D28" s="72"/>
      <c r="F28" s="66"/>
      <c r="G28" s="66">
        <v>2</v>
      </c>
      <c r="H28" s="66" t="s">
        <v>22</v>
      </c>
      <c r="I28" s="70">
        <f t="shared" si="0"/>
        <v>2</v>
      </c>
      <c r="K28" s="66" t="s">
        <v>22</v>
      </c>
    </row>
    <row r="29" spans="1:11" x14ac:dyDescent="0.3">
      <c r="A29" s="68">
        <v>17</v>
      </c>
      <c r="B29" s="68" t="s">
        <v>192</v>
      </c>
      <c r="C29" s="68" t="s">
        <v>150</v>
      </c>
      <c r="D29" s="71" t="s">
        <v>26</v>
      </c>
      <c r="E29" s="68" t="s">
        <v>112</v>
      </c>
      <c r="F29" s="66" t="s">
        <v>385</v>
      </c>
      <c r="G29" s="66">
        <v>1</v>
      </c>
      <c r="H29" s="66" t="s">
        <v>24</v>
      </c>
      <c r="I29" s="70">
        <f t="shared" si="0"/>
        <v>1</v>
      </c>
      <c r="K29" s="66" t="s">
        <v>24</v>
      </c>
    </row>
    <row r="30" spans="1:11" x14ac:dyDescent="0.3">
      <c r="D30" s="72"/>
      <c r="F30" s="66"/>
      <c r="G30" s="66">
        <v>2</v>
      </c>
      <c r="H30" s="66" t="s">
        <v>22</v>
      </c>
      <c r="I30" s="70">
        <f t="shared" si="0"/>
        <v>2</v>
      </c>
      <c r="K30" s="66" t="s">
        <v>22</v>
      </c>
    </row>
    <row r="31" spans="1:11" ht="28.8" x14ac:dyDescent="0.3">
      <c r="A31" s="68">
        <v>18</v>
      </c>
      <c r="B31" s="68" t="s">
        <v>193</v>
      </c>
      <c r="C31" s="68" t="s">
        <v>150</v>
      </c>
      <c r="D31" s="71" t="s">
        <v>28</v>
      </c>
      <c r="E31" s="68" t="s">
        <v>112</v>
      </c>
      <c r="F31" s="66" t="s">
        <v>385</v>
      </c>
      <c r="G31" s="66">
        <v>1</v>
      </c>
      <c r="H31" s="66" t="s">
        <v>24</v>
      </c>
      <c r="I31" s="70">
        <f t="shared" si="0"/>
        <v>1</v>
      </c>
      <c r="K31" s="66" t="s">
        <v>24</v>
      </c>
    </row>
    <row r="32" spans="1:11" x14ac:dyDescent="0.3">
      <c r="D32" s="72"/>
      <c r="F32" s="66"/>
      <c r="G32" s="66">
        <v>2</v>
      </c>
      <c r="H32" s="66" t="s">
        <v>22</v>
      </c>
      <c r="I32" s="70">
        <f t="shared" si="0"/>
        <v>2</v>
      </c>
      <c r="K32" s="66" t="s">
        <v>22</v>
      </c>
    </row>
    <row r="33" spans="1:11" x14ac:dyDescent="0.3">
      <c r="A33" s="68">
        <v>19</v>
      </c>
      <c r="B33" s="68" t="s">
        <v>194</v>
      </c>
      <c r="C33" s="68" t="s">
        <v>150</v>
      </c>
      <c r="D33" s="71" t="s">
        <v>31</v>
      </c>
      <c r="E33" s="68" t="s">
        <v>112</v>
      </c>
      <c r="F33" s="66" t="s">
        <v>385</v>
      </c>
      <c r="G33" s="66">
        <v>1</v>
      </c>
      <c r="H33" s="66" t="s">
        <v>24</v>
      </c>
      <c r="I33" s="70">
        <f t="shared" si="0"/>
        <v>1</v>
      </c>
      <c r="K33" s="66" t="s">
        <v>24</v>
      </c>
    </row>
    <row r="34" spans="1:11" x14ac:dyDescent="0.3">
      <c r="D34" s="72"/>
      <c r="F34" s="66"/>
      <c r="G34" s="66">
        <v>2</v>
      </c>
      <c r="H34" s="66" t="s">
        <v>22</v>
      </c>
      <c r="I34" s="70">
        <f t="shared" si="0"/>
        <v>2</v>
      </c>
      <c r="K34" s="66" t="s">
        <v>22</v>
      </c>
    </row>
    <row r="35" spans="1:11" x14ac:dyDescent="0.3">
      <c r="A35" s="68">
        <v>20</v>
      </c>
      <c r="B35" s="68" t="s">
        <v>195</v>
      </c>
      <c r="C35" s="68" t="s">
        <v>150</v>
      </c>
      <c r="D35" s="71" t="s">
        <v>33</v>
      </c>
      <c r="E35" s="68" t="s">
        <v>112</v>
      </c>
      <c r="F35" s="66" t="s">
        <v>385</v>
      </c>
      <c r="G35" s="66">
        <v>1</v>
      </c>
      <c r="H35" s="66" t="s">
        <v>24</v>
      </c>
      <c r="I35" s="70">
        <f t="shared" si="0"/>
        <v>1</v>
      </c>
      <c r="K35" s="66" t="s">
        <v>24</v>
      </c>
    </row>
    <row r="36" spans="1:11" x14ac:dyDescent="0.3">
      <c r="D36" s="72"/>
      <c r="F36" s="66"/>
      <c r="G36" s="66">
        <v>2</v>
      </c>
      <c r="H36" s="66" t="s">
        <v>22</v>
      </c>
      <c r="I36" s="70">
        <f t="shared" si="0"/>
        <v>2</v>
      </c>
      <c r="K36" s="66" t="s">
        <v>22</v>
      </c>
    </row>
    <row r="37" spans="1:11" x14ac:dyDescent="0.3">
      <c r="A37" s="68">
        <v>21</v>
      </c>
      <c r="B37" s="68" t="s">
        <v>196</v>
      </c>
      <c r="C37" s="68" t="s">
        <v>150</v>
      </c>
      <c r="D37" s="71" t="s">
        <v>35</v>
      </c>
      <c r="E37" s="68" t="s">
        <v>112</v>
      </c>
      <c r="F37" s="66" t="s">
        <v>385</v>
      </c>
      <c r="G37" s="66">
        <v>1</v>
      </c>
      <c r="H37" s="66" t="s">
        <v>24</v>
      </c>
      <c r="I37" s="70">
        <f>G37</f>
        <v>1</v>
      </c>
      <c r="K37" s="66" t="s">
        <v>24</v>
      </c>
    </row>
    <row r="38" spans="1:11" x14ac:dyDescent="0.3">
      <c r="D38" s="72"/>
      <c r="F38" s="66"/>
      <c r="G38" s="66">
        <v>2</v>
      </c>
      <c r="H38" s="66" t="s">
        <v>22</v>
      </c>
      <c r="I38" s="70">
        <f>G38</f>
        <v>2</v>
      </c>
      <c r="K38" s="66" t="s">
        <v>22</v>
      </c>
    </row>
    <row r="39" spans="1:11" x14ac:dyDescent="0.3">
      <c r="A39" s="68">
        <v>22</v>
      </c>
      <c r="B39" s="68" t="s">
        <v>197</v>
      </c>
      <c r="C39" s="68" t="s">
        <v>150</v>
      </c>
      <c r="D39" s="71" t="s">
        <v>38</v>
      </c>
      <c r="E39" s="68" t="s">
        <v>112</v>
      </c>
      <c r="F39" s="66" t="s">
        <v>385</v>
      </c>
      <c r="G39" s="66">
        <v>1</v>
      </c>
      <c r="H39" s="66" t="s">
        <v>24</v>
      </c>
      <c r="I39" s="70">
        <f>G39</f>
        <v>1</v>
      </c>
      <c r="K39" s="66" t="s">
        <v>24</v>
      </c>
    </row>
    <row r="40" spans="1:11" x14ac:dyDescent="0.3">
      <c r="D40" s="72"/>
      <c r="F40" s="66"/>
      <c r="G40" s="66">
        <v>2</v>
      </c>
      <c r="H40" s="66" t="s">
        <v>22</v>
      </c>
      <c r="I40" s="70">
        <f>G40</f>
        <v>2</v>
      </c>
      <c r="K40" s="66" t="s">
        <v>22</v>
      </c>
    </row>
    <row r="41" spans="1:11" x14ac:dyDescent="0.3">
      <c r="A41" s="68">
        <v>23</v>
      </c>
      <c r="B41" s="68" t="s">
        <v>201</v>
      </c>
      <c r="C41" s="68" t="s">
        <v>150</v>
      </c>
      <c r="D41" s="71" t="s">
        <v>40</v>
      </c>
      <c r="E41" s="68" t="s">
        <v>112</v>
      </c>
      <c r="F41" s="66" t="s">
        <v>385</v>
      </c>
      <c r="G41" s="234">
        <v>1</v>
      </c>
      <c r="H41" s="234" t="s">
        <v>41</v>
      </c>
      <c r="I41" s="236">
        <f t="shared" si="0"/>
        <v>1</v>
      </c>
      <c r="J41" s="234"/>
      <c r="K41" s="234" t="s">
        <v>41</v>
      </c>
    </row>
    <row r="42" spans="1:11" x14ac:dyDescent="0.3">
      <c r="D42" s="72"/>
      <c r="F42" s="66"/>
      <c r="G42" s="234">
        <v>2</v>
      </c>
      <c r="H42" s="235" t="s">
        <v>184</v>
      </c>
      <c r="I42" s="236">
        <f t="shared" si="0"/>
        <v>2</v>
      </c>
      <c r="J42" s="234"/>
      <c r="K42" s="235" t="s">
        <v>184</v>
      </c>
    </row>
    <row r="43" spans="1:11" x14ac:dyDescent="0.3">
      <c r="D43" s="72"/>
      <c r="F43" s="66" t="s">
        <v>385</v>
      </c>
      <c r="G43" s="234">
        <v>3</v>
      </c>
      <c r="H43" s="235" t="s">
        <v>186</v>
      </c>
      <c r="I43" s="236">
        <f t="shared" si="0"/>
        <v>3</v>
      </c>
      <c r="J43" s="234"/>
      <c r="K43" s="235" t="s">
        <v>186</v>
      </c>
    </row>
    <row r="44" spans="1:11" x14ac:dyDescent="0.3">
      <c r="A44" s="68">
        <v>24</v>
      </c>
      <c r="B44" s="68" t="s">
        <v>202</v>
      </c>
      <c r="C44" s="68" t="s">
        <v>150</v>
      </c>
      <c r="D44" s="71" t="s">
        <v>43</v>
      </c>
      <c r="E44" s="68" t="s">
        <v>112</v>
      </c>
      <c r="F44" s="66"/>
      <c r="G44" s="66">
        <v>1</v>
      </c>
      <c r="H44" s="66" t="s">
        <v>187</v>
      </c>
      <c r="I44" s="70">
        <f t="shared" si="0"/>
        <v>1</v>
      </c>
      <c r="K44" s="66" t="s">
        <v>187</v>
      </c>
    </row>
    <row r="45" spans="1:11" x14ac:dyDescent="0.3">
      <c r="D45" s="72"/>
      <c r="F45" s="66" t="s">
        <v>385</v>
      </c>
      <c r="G45" s="66">
        <v>2</v>
      </c>
      <c r="H45" s="66" t="s">
        <v>44</v>
      </c>
      <c r="I45" s="70">
        <f t="shared" si="0"/>
        <v>2</v>
      </c>
      <c r="K45" s="66" t="s">
        <v>44</v>
      </c>
    </row>
    <row r="46" spans="1:11" x14ac:dyDescent="0.3">
      <c r="A46" s="68">
        <v>25</v>
      </c>
      <c r="B46" s="68" t="s">
        <v>206</v>
      </c>
      <c r="C46" s="68" t="s">
        <v>150</v>
      </c>
      <c r="D46" s="71" t="s">
        <v>47</v>
      </c>
      <c r="E46" s="68" t="s">
        <v>112</v>
      </c>
      <c r="F46" s="66"/>
      <c r="G46" s="66">
        <v>1</v>
      </c>
      <c r="H46" s="66" t="s">
        <v>24</v>
      </c>
      <c r="I46" s="70">
        <f t="shared" si="0"/>
        <v>1</v>
      </c>
      <c r="K46" s="66" t="s">
        <v>24</v>
      </c>
    </row>
    <row r="47" spans="1:11" x14ac:dyDescent="0.3">
      <c r="F47" s="66" t="s">
        <v>385</v>
      </c>
      <c r="G47" s="66">
        <v>2</v>
      </c>
      <c r="H47" s="66" t="s">
        <v>22</v>
      </c>
      <c r="I47" s="70">
        <f t="shared" si="0"/>
        <v>2</v>
      </c>
      <c r="K47" s="66" t="s">
        <v>22</v>
      </c>
    </row>
    <row r="48" spans="1:11" x14ac:dyDescent="0.3">
      <c r="A48" s="68">
        <v>26</v>
      </c>
      <c r="B48" s="68" t="s">
        <v>208</v>
      </c>
      <c r="C48" s="68" t="s">
        <v>150</v>
      </c>
      <c r="D48" s="68" t="s">
        <v>49</v>
      </c>
      <c r="E48" s="68" t="s">
        <v>112</v>
      </c>
      <c r="F48" s="66"/>
      <c r="G48" s="66">
        <v>1</v>
      </c>
      <c r="H48" s="66" t="s">
        <v>24</v>
      </c>
      <c r="I48" s="70">
        <f t="shared" si="0"/>
        <v>1</v>
      </c>
      <c r="K48" s="66" t="s">
        <v>24</v>
      </c>
    </row>
    <row r="49" spans="1:11" x14ac:dyDescent="0.3">
      <c r="F49" s="66" t="s">
        <v>385</v>
      </c>
      <c r="G49" s="66">
        <v>2</v>
      </c>
      <c r="H49" s="66" t="s">
        <v>22</v>
      </c>
      <c r="I49" s="70">
        <f t="shared" si="0"/>
        <v>2</v>
      </c>
      <c r="K49" s="66" t="s">
        <v>22</v>
      </c>
    </row>
    <row r="50" spans="1:11" x14ac:dyDescent="0.3">
      <c r="A50" s="68">
        <v>27</v>
      </c>
      <c r="B50" s="68" t="s">
        <v>210</v>
      </c>
      <c r="C50" s="68" t="s">
        <v>150</v>
      </c>
      <c r="D50" s="68" t="s">
        <v>51</v>
      </c>
      <c r="E50" s="68" t="s">
        <v>112</v>
      </c>
      <c r="F50" s="66"/>
      <c r="G50" s="66">
        <v>1</v>
      </c>
      <c r="H50" s="66" t="s">
        <v>24</v>
      </c>
      <c r="I50" s="70">
        <f t="shared" si="0"/>
        <v>1</v>
      </c>
      <c r="K50" s="66" t="s">
        <v>24</v>
      </c>
    </row>
    <row r="51" spans="1:11" x14ac:dyDescent="0.3">
      <c r="F51" s="66" t="s">
        <v>385</v>
      </c>
      <c r="G51" s="66">
        <v>2</v>
      </c>
      <c r="H51" s="66" t="s">
        <v>22</v>
      </c>
      <c r="I51" s="70">
        <f t="shared" si="0"/>
        <v>2</v>
      </c>
      <c r="K51" s="66" t="s">
        <v>22</v>
      </c>
    </row>
    <row r="52" spans="1:11" x14ac:dyDescent="0.3">
      <c r="A52" s="68">
        <v>28</v>
      </c>
      <c r="B52" s="68" t="s">
        <v>211</v>
      </c>
      <c r="C52" s="68" t="s">
        <v>150</v>
      </c>
      <c r="D52" s="68" t="s">
        <v>54</v>
      </c>
      <c r="E52" s="68" t="s">
        <v>112</v>
      </c>
      <c r="F52" s="66"/>
      <c r="G52" s="66">
        <v>1</v>
      </c>
      <c r="H52" s="66" t="s">
        <v>24</v>
      </c>
      <c r="I52" s="70">
        <f t="shared" si="0"/>
        <v>1</v>
      </c>
      <c r="K52" s="66" t="s">
        <v>24</v>
      </c>
    </row>
    <row r="53" spans="1:11" x14ac:dyDescent="0.3">
      <c r="F53" s="66" t="s">
        <v>385</v>
      </c>
      <c r="G53" s="66">
        <v>2</v>
      </c>
      <c r="H53" s="66" t="s">
        <v>22</v>
      </c>
      <c r="I53" s="70">
        <f t="shared" si="0"/>
        <v>2</v>
      </c>
      <c r="K53" s="66" t="s">
        <v>22</v>
      </c>
    </row>
    <row r="54" spans="1:11" x14ac:dyDescent="0.3">
      <c r="A54" s="68">
        <v>29</v>
      </c>
      <c r="B54" s="68" t="s">
        <v>212</v>
      </c>
      <c r="C54" s="68" t="s">
        <v>150</v>
      </c>
      <c r="D54" s="68" t="s">
        <v>57</v>
      </c>
      <c r="E54" s="68" t="s">
        <v>112</v>
      </c>
      <c r="F54" s="66"/>
      <c r="G54" s="66">
        <v>1</v>
      </c>
      <c r="H54" s="66" t="s">
        <v>24</v>
      </c>
      <c r="I54" s="70">
        <f t="shared" si="0"/>
        <v>1</v>
      </c>
      <c r="K54" s="66" t="s">
        <v>24</v>
      </c>
    </row>
    <row r="55" spans="1:11" x14ac:dyDescent="0.3">
      <c r="F55" s="66" t="s">
        <v>385</v>
      </c>
      <c r="G55" s="66">
        <v>2</v>
      </c>
      <c r="H55" s="66" t="s">
        <v>22</v>
      </c>
      <c r="I55" s="70">
        <f t="shared" si="0"/>
        <v>2</v>
      </c>
      <c r="K55" s="66" t="s">
        <v>22</v>
      </c>
    </row>
    <row r="56" spans="1:11" x14ac:dyDescent="0.3">
      <c r="A56" s="68">
        <v>30</v>
      </c>
      <c r="B56" s="68" t="s">
        <v>214</v>
      </c>
      <c r="C56" s="68" t="s">
        <v>150</v>
      </c>
      <c r="D56" s="68" t="s">
        <v>61</v>
      </c>
      <c r="E56" s="68" t="s">
        <v>112</v>
      </c>
      <c r="F56" s="66"/>
      <c r="G56" s="66">
        <v>1</v>
      </c>
      <c r="H56" s="66" t="s">
        <v>24</v>
      </c>
      <c r="I56" s="70">
        <f t="shared" si="0"/>
        <v>1</v>
      </c>
      <c r="K56" s="66" t="s">
        <v>24</v>
      </c>
    </row>
    <row r="57" spans="1:11" x14ac:dyDescent="0.3">
      <c r="F57" s="66" t="s">
        <v>385</v>
      </c>
      <c r="G57" s="66">
        <v>2</v>
      </c>
      <c r="H57" s="66" t="s">
        <v>22</v>
      </c>
      <c r="I57" s="70">
        <f t="shared" si="0"/>
        <v>2</v>
      </c>
      <c r="K57" s="66" t="s">
        <v>22</v>
      </c>
    </row>
    <row r="58" spans="1:11" x14ac:dyDescent="0.3">
      <c r="A58" s="68">
        <v>31</v>
      </c>
      <c r="B58" s="68" t="s">
        <v>215</v>
      </c>
      <c r="C58" s="68" t="s">
        <v>150</v>
      </c>
      <c r="D58" s="68" t="s">
        <v>63</v>
      </c>
      <c r="E58" s="68" t="s">
        <v>112</v>
      </c>
      <c r="F58" s="66"/>
      <c r="G58" s="66">
        <v>1</v>
      </c>
      <c r="H58" s="66" t="s">
        <v>24</v>
      </c>
      <c r="I58" s="70">
        <f t="shared" si="0"/>
        <v>1</v>
      </c>
      <c r="K58" s="66" t="s">
        <v>24</v>
      </c>
    </row>
    <row r="59" spans="1:11" x14ac:dyDescent="0.3">
      <c r="F59" s="66" t="s">
        <v>385</v>
      </c>
      <c r="G59" s="66">
        <v>2</v>
      </c>
      <c r="H59" s="66" t="s">
        <v>22</v>
      </c>
      <c r="I59" s="70">
        <f t="shared" si="0"/>
        <v>2</v>
      </c>
      <c r="K59" s="66" t="s">
        <v>22</v>
      </c>
    </row>
    <row r="60" spans="1:11" x14ac:dyDescent="0.3">
      <c r="A60" s="68">
        <v>32</v>
      </c>
      <c r="B60" s="68" t="s">
        <v>219</v>
      </c>
      <c r="C60" s="68" t="s">
        <v>150</v>
      </c>
      <c r="D60" s="68" t="s">
        <v>66</v>
      </c>
      <c r="E60" s="68" t="s">
        <v>112</v>
      </c>
      <c r="F60" s="66"/>
      <c r="G60" s="66">
        <v>1</v>
      </c>
      <c r="H60" s="66" t="s">
        <v>24</v>
      </c>
      <c r="I60" s="70">
        <f t="shared" si="0"/>
        <v>1</v>
      </c>
      <c r="K60" s="66" t="s">
        <v>24</v>
      </c>
    </row>
    <row r="61" spans="1:11" x14ac:dyDescent="0.3">
      <c r="F61" s="66" t="s">
        <v>385</v>
      </c>
      <c r="G61" s="66">
        <v>2</v>
      </c>
      <c r="H61" s="66" t="s">
        <v>22</v>
      </c>
      <c r="I61" s="70">
        <f t="shared" si="0"/>
        <v>2</v>
      </c>
      <c r="K61" s="66" t="s">
        <v>22</v>
      </c>
    </row>
    <row r="62" spans="1:11" x14ac:dyDescent="0.3">
      <c r="A62" s="68">
        <v>33</v>
      </c>
      <c r="B62" s="68" t="s">
        <v>223</v>
      </c>
      <c r="C62" s="68" t="s">
        <v>150</v>
      </c>
      <c r="D62" s="68" t="s">
        <v>68</v>
      </c>
      <c r="E62" s="68" t="s">
        <v>112</v>
      </c>
      <c r="F62" s="66"/>
      <c r="G62" s="66">
        <v>1</v>
      </c>
      <c r="H62" s="66" t="s">
        <v>24</v>
      </c>
      <c r="I62" s="70">
        <f t="shared" si="0"/>
        <v>1</v>
      </c>
      <c r="K62" s="66" t="s">
        <v>24</v>
      </c>
    </row>
    <row r="63" spans="1:11" x14ac:dyDescent="0.3">
      <c r="F63" s="66" t="s">
        <v>385</v>
      </c>
      <c r="G63" s="66">
        <v>2</v>
      </c>
      <c r="H63" s="66" t="s">
        <v>22</v>
      </c>
      <c r="I63" s="70">
        <f t="shared" si="0"/>
        <v>2</v>
      </c>
      <c r="K63" s="66" t="s">
        <v>22</v>
      </c>
    </row>
    <row r="64" spans="1:11" x14ac:dyDescent="0.3">
      <c r="A64" s="68">
        <v>34</v>
      </c>
      <c r="B64" s="68" t="s">
        <v>225</v>
      </c>
      <c r="C64" s="68" t="s">
        <v>150</v>
      </c>
      <c r="D64" s="68" t="s">
        <v>71</v>
      </c>
      <c r="E64" s="68" t="s">
        <v>112</v>
      </c>
      <c r="F64" s="66"/>
      <c r="G64" s="66">
        <v>1</v>
      </c>
      <c r="H64" s="66" t="s">
        <v>24</v>
      </c>
      <c r="I64" s="70">
        <f t="shared" si="0"/>
        <v>1</v>
      </c>
      <c r="K64" s="66" t="s">
        <v>24</v>
      </c>
    </row>
    <row r="65" spans="1:11" x14ac:dyDescent="0.3">
      <c r="F65" s="66" t="s">
        <v>385</v>
      </c>
      <c r="G65" s="66">
        <v>2</v>
      </c>
      <c r="H65" s="66" t="s">
        <v>22</v>
      </c>
      <c r="I65" s="70">
        <f t="shared" si="0"/>
        <v>2</v>
      </c>
      <c r="K65" s="66" t="s">
        <v>22</v>
      </c>
    </row>
    <row r="66" spans="1:11" x14ac:dyDescent="0.3">
      <c r="A66" s="68">
        <v>35</v>
      </c>
      <c r="B66" s="68" t="s">
        <v>226</v>
      </c>
      <c r="C66" s="68" t="s">
        <v>150</v>
      </c>
      <c r="D66" s="68" t="s">
        <v>72</v>
      </c>
      <c r="E66" s="68" t="s">
        <v>112</v>
      </c>
      <c r="F66" s="66"/>
      <c r="G66" s="66">
        <v>1</v>
      </c>
      <c r="H66" s="66" t="s">
        <v>24</v>
      </c>
      <c r="I66" s="70">
        <f t="shared" si="0"/>
        <v>1</v>
      </c>
      <c r="K66" s="66" t="s">
        <v>24</v>
      </c>
    </row>
    <row r="67" spans="1:11" x14ac:dyDescent="0.3">
      <c r="F67" s="66" t="s">
        <v>385</v>
      </c>
      <c r="G67" s="66">
        <v>2</v>
      </c>
      <c r="H67" s="66" t="s">
        <v>22</v>
      </c>
      <c r="I67" s="70">
        <f t="shared" si="0"/>
        <v>2</v>
      </c>
      <c r="K67" s="66" t="s">
        <v>22</v>
      </c>
    </row>
    <row r="68" spans="1:11" x14ac:dyDescent="0.3">
      <c r="A68" s="68">
        <v>36</v>
      </c>
      <c r="B68" s="68" t="s">
        <v>229</v>
      </c>
      <c r="C68" s="68" t="s">
        <v>150</v>
      </c>
      <c r="D68" s="68" t="s">
        <v>13</v>
      </c>
      <c r="E68" s="68" t="s">
        <v>112</v>
      </c>
      <c r="F68" s="66"/>
      <c r="G68" s="66">
        <v>1</v>
      </c>
      <c r="H68" s="66" t="s">
        <v>204</v>
      </c>
      <c r="I68" s="70">
        <f t="shared" si="0"/>
        <v>1</v>
      </c>
      <c r="K68" s="66" t="s">
        <v>204</v>
      </c>
    </row>
    <row r="69" spans="1:11" x14ac:dyDescent="0.3">
      <c r="F69" s="66" t="s">
        <v>385</v>
      </c>
      <c r="G69" s="66">
        <v>2</v>
      </c>
      <c r="H69" s="73" t="s">
        <v>14</v>
      </c>
      <c r="I69" s="70">
        <f t="shared" si="0"/>
        <v>2</v>
      </c>
      <c r="K69" s="73" t="s">
        <v>14</v>
      </c>
    </row>
    <row r="70" spans="1:11" x14ac:dyDescent="0.3">
      <c r="A70" s="68">
        <v>37</v>
      </c>
      <c r="B70" s="68" t="s">
        <v>230</v>
      </c>
      <c r="C70" s="68" t="s">
        <v>150</v>
      </c>
      <c r="D70" s="68" t="s">
        <v>17</v>
      </c>
      <c r="E70" s="68" t="s">
        <v>112</v>
      </c>
      <c r="F70" s="66"/>
      <c r="G70" s="66">
        <v>1</v>
      </c>
      <c r="H70" s="66" t="s">
        <v>18</v>
      </c>
      <c r="I70" s="70">
        <f t="shared" si="0"/>
        <v>1</v>
      </c>
      <c r="K70" s="66" t="s">
        <v>18</v>
      </c>
    </row>
    <row r="71" spans="1:11" x14ac:dyDescent="0.3">
      <c r="F71" s="66" t="s">
        <v>385</v>
      </c>
      <c r="G71" s="66">
        <v>2</v>
      </c>
      <c r="H71" s="66" t="s">
        <v>207</v>
      </c>
      <c r="I71" s="70">
        <f t="shared" si="0"/>
        <v>2</v>
      </c>
      <c r="K71" s="66" t="s">
        <v>207</v>
      </c>
    </row>
    <row r="72" spans="1:11" x14ac:dyDescent="0.3">
      <c r="A72" s="68">
        <v>38</v>
      </c>
      <c r="B72" s="68" t="s">
        <v>231</v>
      </c>
      <c r="C72" s="68" t="s">
        <v>150</v>
      </c>
      <c r="D72" s="68" t="s">
        <v>21</v>
      </c>
      <c r="E72" s="68" t="s">
        <v>112</v>
      </c>
      <c r="F72" s="66"/>
      <c r="G72" s="66">
        <v>1</v>
      </c>
      <c r="H72" s="66" t="s">
        <v>24</v>
      </c>
      <c r="I72" s="70">
        <f t="shared" si="0"/>
        <v>1</v>
      </c>
      <c r="K72" s="66" t="s">
        <v>24</v>
      </c>
    </row>
    <row r="73" spans="1:11" x14ac:dyDescent="0.3">
      <c r="F73" s="66" t="s">
        <v>385</v>
      </c>
      <c r="G73" s="66">
        <v>2</v>
      </c>
      <c r="H73" s="66" t="s">
        <v>22</v>
      </c>
      <c r="I73" s="70">
        <f t="shared" si="0"/>
        <v>2</v>
      </c>
      <c r="K73" s="66" t="s">
        <v>22</v>
      </c>
    </row>
    <row r="74" spans="1:11" x14ac:dyDescent="0.3">
      <c r="A74" s="68">
        <v>39</v>
      </c>
      <c r="B74" s="68" t="s">
        <v>233</v>
      </c>
      <c r="C74" s="68" t="s">
        <v>150</v>
      </c>
      <c r="D74" s="68" t="s">
        <v>25</v>
      </c>
      <c r="E74" s="68" t="s">
        <v>112</v>
      </c>
      <c r="F74" s="66"/>
      <c r="G74" s="66">
        <v>1</v>
      </c>
      <c r="H74" s="66" t="s">
        <v>24</v>
      </c>
      <c r="I74" s="70">
        <f t="shared" si="0"/>
        <v>1</v>
      </c>
      <c r="K74" s="66" t="s">
        <v>24</v>
      </c>
    </row>
    <row r="75" spans="1:11" x14ac:dyDescent="0.3">
      <c r="F75" s="66" t="s">
        <v>385</v>
      </c>
      <c r="G75" s="66">
        <v>2</v>
      </c>
      <c r="H75" s="66" t="s">
        <v>22</v>
      </c>
      <c r="I75" s="70">
        <f t="shared" si="0"/>
        <v>2</v>
      </c>
      <c r="K75" s="66" t="s">
        <v>22</v>
      </c>
    </row>
    <row r="76" spans="1:11" x14ac:dyDescent="0.3">
      <c r="A76" s="68">
        <v>40</v>
      </c>
      <c r="B76" s="68" t="s">
        <v>235</v>
      </c>
      <c r="C76" s="68" t="s">
        <v>150</v>
      </c>
      <c r="D76" s="68" t="s">
        <v>27</v>
      </c>
      <c r="E76" s="68" t="s">
        <v>112</v>
      </c>
      <c r="F76" s="66"/>
      <c r="G76" s="66">
        <v>1</v>
      </c>
      <c r="H76" s="66" t="s">
        <v>24</v>
      </c>
      <c r="I76" s="70">
        <f t="shared" si="0"/>
        <v>1</v>
      </c>
      <c r="K76" s="66" t="s">
        <v>24</v>
      </c>
    </row>
    <row r="77" spans="1:11" x14ac:dyDescent="0.3">
      <c r="F77" s="66" t="s">
        <v>385</v>
      </c>
      <c r="G77" s="66">
        <v>2</v>
      </c>
      <c r="H77" s="66" t="s">
        <v>22</v>
      </c>
      <c r="I77" s="70">
        <f t="shared" si="0"/>
        <v>2</v>
      </c>
      <c r="K77" s="66" t="s">
        <v>22</v>
      </c>
    </row>
    <row r="78" spans="1:11" x14ac:dyDescent="0.3">
      <c r="A78" s="68">
        <v>41</v>
      </c>
      <c r="B78" s="68" t="s">
        <v>237</v>
      </c>
      <c r="C78" s="68" t="s">
        <v>150</v>
      </c>
      <c r="D78" s="68" t="s">
        <v>29</v>
      </c>
      <c r="E78" s="68" t="s">
        <v>112</v>
      </c>
      <c r="F78" s="66"/>
      <c r="G78" s="66">
        <v>1</v>
      </c>
      <c r="H78" s="66" t="s">
        <v>30</v>
      </c>
      <c r="I78" s="70">
        <f t="shared" si="0"/>
        <v>1</v>
      </c>
      <c r="K78" s="66" t="s">
        <v>30</v>
      </c>
    </row>
    <row r="79" spans="1:11" x14ac:dyDescent="0.3">
      <c r="F79" s="66" t="s">
        <v>385</v>
      </c>
      <c r="G79" s="66">
        <v>2</v>
      </c>
      <c r="H79" s="66" t="s">
        <v>213</v>
      </c>
      <c r="I79" s="70">
        <f t="shared" si="0"/>
        <v>2</v>
      </c>
      <c r="K79" s="66" t="s">
        <v>213</v>
      </c>
    </row>
    <row r="80" spans="1:11" x14ac:dyDescent="0.3">
      <c r="A80" s="68">
        <v>42</v>
      </c>
      <c r="B80" s="68" t="s">
        <v>238</v>
      </c>
      <c r="C80" s="68" t="s">
        <v>150</v>
      </c>
      <c r="D80" s="68" t="s">
        <v>32</v>
      </c>
      <c r="E80" s="68" t="s">
        <v>112</v>
      </c>
      <c r="F80" s="66"/>
      <c r="G80" s="66">
        <v>1</v>
      </c>
      <c r="H80" s="66" t="s">
        <v>24</v>
      </c>
      <c r="I80" s="70">
        <f t="shared" si="0"/>
        <v>1</v>
      </c>
      <c r="K80" s="66" t="s">
        <v>24</v>
      </c>
    </row>
    <row r="81" spans="1:11" x14ac:dyDescent="0.3">
      <c r="F81" s="66" t="s">
        <v>385</v>
      </c>
      <c r="G81" s="66">
        <v>2</v>
      </c>
      <c r="H81" s="66" t="s">
        <v>22</v>
      </c>
      <c r="I81" s="70">
        <f t="shared" si="0"/>
        <v>2</v>
      </c>
      <c r="K81" s="66" t="s">
        <v>22</v>
      </c>
    </row>
    <row r="82" spans="1:11" x14ac:dyDescent="0.3">
      <c r="A82" s="68">
        <v>43</v>
      </c>
      <c r="B82" s="68" t="s">
        <v>239</v>
      </c>
      <c r="C82" s="68" t="s">
        <v>150</v>
      </c>
      <c r="D82" s="68" t="s">
        <v>34</v>
      </c>
      <c r="E82" s="68" t="s">
        <v>112</v>
      </c>
      <c r="F82" s="66"/>
      <c r="G82" s="66">
        <v>1</v>
      </c>
      <c r="H82" s="66" t="s">
        <v>216</v>
      </c>
      <c r="I82" s="70">
        <f t="shared" si="0"/>
        <v>1</v>
      </c>
      <c r="K82" s="66" t="s">
        <v>216</v>
      </c>
    </row>
    <row r="83" spans="1:11" x14ac:dyDescent="0.3">
      <c r="F83" s="66" t="s">
        <v>385</v>
      </c>
      <c r="G83" s="66">
        <v>2</v>
      </c>
      <c r="H83" s="66" t="s">
        <v>22</v>
      </c>
      <c r="I83" s="70">
        <f t="shared" si="0"/>
        <v>2</v>
      </c>
      <c r="K83" s="66" t="s">
        <v>22</v>
      </c>
    </row>
    <row r="84" spans="1:11" x14ac:dyDescent="0.3">
      <c r="A84" s="68">
        <v>44</v>
      </c>
      <c r="B84" s="68" t="s">
        <v>240</v>
      </c>
      <c r="C84" s="68" t="s">
        <v>150</v>
      </c>
      <c r="D84" s="68" t="s">
        <v>36</v>
      </c>
      <c r="E84" s="68" t="s">
        <v>112</v>
      </c>
      <c r="F84" s="66"/>
      <c r="G84" s="66">
        <v>1</v>
      </c>
      <c r="H84" s="66" t="s">
        <v>221</v>
      </c>
      <c r="I84" s="70">
        <f t="shared" si="0"/>
        <v>1</v>
      </c>
      <c r="K84" s="66" t="s">
        <v>221</v>
      </c>
    </row>
    <row r="85" spans="1:11" x14ac:dyDescent="0.3">
      <c r="F85" s="66" t="s">
        <v>385</v>
      </c>
      <c r="G85" s="66">
        <v>2</v>
      </c>
      <c r="H85" s="66" t="s">
        <v>37</v>
      </c>
      <c r="I85" s="70">
        <f t="shared" si="0"/>
        <v>2</v>
      </c>
      <c r="K85" s="66" t="s">
        <v>37</v>
      </c>
    </row>
    <row r="86" spans="1:11" x14ac:dyDescent="0.3">
      <c r="A86" s="68">
        <v>45</v>
      </c>
      <c r="B86" s="68" t="s">
        <v>242</v>
      </c>
      <c r="C86" s="68" t="s">
        <v>150</v>
      </c>
      <c r="D86" s="68" t="s">
        <v>39</v>
      </c>
      <c r="E86" s="68" t="s">
        <v>112</v>
      </c>
      <c r="F86" s="66"/>
      <c r="G86" s="66">
        <v>1</v>
      </c>
      <c r="H86" s="66" t="s">
        <v>224</v>
      </c>
      <c r="I86" s="70">
        <f t="shared" si="0"/>
        <v>1</v>
      </c>
      <c r="K86" s="66" t="s">
        <v>221</v>
      </c>
    </row>
    <row r="87" spans="1:11" x14ac:dyDescent="0.3">
      <c r="F87" s="66" t="s">
        <v>385</v>
      </c>
      <c r="G87" s="66">
        <v>2</v>
      </c>
      <c r="H87" s="66" t="s">
        <v>37</v>
      </c>
      <c r="I87" s="70">
        <f t="shared" ref="I87:I105" si="1">G87</f>
        <v>2</v>
      </c>
      <c r="K87" s="66" t="s">
        <v>37</v>
      </c>
    </row>
    <row r="88" spans="1:11" x14ac:dyDescent="0.3">
      <c r="A88" s="68">
        <v>46</v>
      </c>
      <c r="B88" s="68" t="s">
        <v>246</v>
      </c>
      <c r="C88" s="68" t="s">
        <v>150</v>
      </c>
      <c r="D88" s="68" t="s">
        <v>42</v>
      </c>
      <c r="E88" s="68" t="s">
        <v>112</v>
      </c>
      <c r="F88" s="66"/>
      <c r="G88" s="66">
        <v>1</v>
      </c>
      <c r="H88" s="66" t="s">
        <v>24</v>
      </c>
      <c r="I88" s="70">
        <f t="shared" si="1"/>
        <v>1</v>
      </c>
      <c r="K88" s="66" t="s">
        <v>24</v>
      </c>
    </row>
    <row r="89" spans="1:11" x14ac:dyDescent="0.3">
      <c r="F89" s="66" t="s">
        <v>385</v>
      </c>
      <c r="G89" s="66">
        <v>2</v>
      </c>
      <c r="H89" s="66" t="s">
        <v>22</v>
      </c>
      <c r="I89" s="70">
        <f t="shared" si="1"/>
        <v>2</v>
      </c>
      <c r="K89" s="66" t="s">
        <v>22</v>
      </c>
    </row>
    <row r="90" spans="1:11" ht="28.8" x14ac:dyDescent="0.3">
      <c r="A90" s="68">
        <v>47</v>
      </c>
      <c r="B90" s="68" t="s">
        <v>248</v>
      </c>
      <c r="C90" s="68" t="s">
        <v>227</v>
      </c>
      <c r="D90" s="68" t="s">
        <v>45</v>
      </c>
      <c r="E90" s="68" t="s">
        <v>112</v>
      </c>
      <c r="F90" s="66"/>
      <c r="G90" s="66">
        <v>1</v>
      </c>
      <c r="H90" s="66" t="s">
        <v>228</v>
      </c>
      <c r="I90" s="66">
        <f>G90</f>
        <v>1</v>
      </c>
      <c r="K90" s="66" t="s">
        <v>228</v>
      </c>
    </row>
    <row r="91" spans="1:11" x14ac:dyDescent="0.3">
      <c r="A91"/>
      <c r="B91"/>
      <c r="F91" s="66"/>
      <c r="G91" s="66">
        <v>2</v>
      </c>
      <c r="H91" s="66" t="s">
        <v>103</v>
      </c>
      <c r="I91" s="66">
        <f>G91</f>
        <v>2</v>
      </c>
      <c r="K91" s="66" t="s">
        <v>103</v>
      </c>
    </row>
    <row r="92" spans="1:11" x14ac:dyDescent="0.3">
      <c r="F92" s="66" t="s">
        <v>385</v>
      </c>
      <c r="G92" s="66">
        <v>3</v>
      </c>
      <c r="H92" s="66" t="s">
        <v>46</v>
      </c>
      <c r="I92" s="66">
        <f t="shared" si="1"/>
        <v>3</v>
      </c>
      <c r="K92" s="66" t="s">
        <v>46</v>
      </c>
    </row>
    <row r="93" spans="1:11" x14ac:dyDescent="0.3">
      <c r="A93" s="68">
        <v>48</v>
      </c>
      <c r="B93" s="68" t="s">
        <v>249</v>
      </c>
      <c r="C93" s="68" t="s">
        <v>227</v>
      </c>
      <c r="D93" s="68" t="s">
        <v>48</v>
      </c>
      <c r="E93" s="68" t="s">
        <v>112</v>
      </c>
      <c r="F93" s="66"/>
      <c r="G93" s="66">
        <v>1</v>
      </c>
      <c r="H93" s="66" t="s">
        <v>103</v>
      </c>
      <c r="I93" s="70">
        <f>G93</f>
        <v>1</v>
      </c>
      <c r="K93" s="66" t="s">
        <v>103</v>
      </c>
    </row>
    <row r="94" spans="1:11" x14ac:dyDescent="0.3">
      <c r="F94" s="66" t="s">
        <v>385</v>
      </c>
      <c r="G94" s="66">
        <v>2</v>
      </c>
      <c r="H94" s="66" t="s">
        <v>46</v>
      </c>
      <c r="I94" s="70">
        <f>G94</f>
        <v>2</v>
      </c>
      <c r="K94" s="66" t="s">
        <v>46</v>
      </c>
    </row>
    <row r="95" spans="1:11" ht="28.8" x14ac:dyDescent="0.3">
      <c r="A95" s="68">
        <v>49</v>
      </c>
      <c r="B95" s="68" t="s">
        <v>250</v>
      </c>
      <c r="C95" s="68" t="s">
        <v>227</v>
      </c>
      <c r="D95" s="68" t="s">
        <v>50</v>
      </c>
      <c r="E95" s="68" t="s">
        <v>112</v>
      </c>
      <c r="F95" s="66"/>
      <c r="G95" s="66">
        <v>1</v>
      </c>
      <c r="H95" s="66" t="s">
        <v>103</v>
      </c>
      <c r="I95" s="70">
        <f t="shared" si="1"/>
        <v>1</v>
      </c>
      <c r="K95" s="66" t="s">
        <v>103</v>
      </c>
    </row>
    <row r="96" spans="1:11" x14ac:dyDescent="0.3">
      <c r="F96" s="66" t="s">
        <v>385</v>
      </c>
      <c r="G96" s="66">
        <v>2</v>
      </c>
      <c r="H96" s="66" t="s">
        <v>46</v>
      </c>
      <c r="I96" s="70">
        <f t="shared" si="1"/>
        <v>2</v>
      </c>
      <c r="K96" s="66" t="s">
        <v>46</v>
      </c>
    </row>
    <row r="97" spans="1:11" x14ac:dyDescent="0.3">
      <c r="A97" s="68">
        <v>50</v>
      </c>
      <c r="B97" s="68" t="s">
        <v>251</v>
      </c>
      <c r="C97" s="68" t="s">
        <v>227</v>
      </c>
      <c r="D97" s="68" t="s">
        <v>52</v>
      </c>
      <c r="E97" s="68" t="s">
        <v>112</v>
      </c>
      <c r="F97" s="66"/>
      <c r="G97" s="66">
        <v>1</v>
      </c>
      <c r="H97" s="66" t="s">
        <v>232</v>
      </c>
      <c r="I97" s="70">
        <f t="shared" si="1"/>
        <v>1</v>
      </c>
      <c r="K97" s="66" t="s">
        <v>232</v>
      </c>
    </row>
    <row r="98" spans="1:11" x14ac:dyDescent="0.3">
      <c r="F98" s="66" t="s">
        <v>385</v>
      </c>
      <c r="G98" s="66">
        <v>2</v>
      </c>
      <c r="H98" s="73" t="s">
        <v>53</v>
      </c>
      <c r="I98" s="70">
        <f t="shared" si="1"/>
        <v>2</v>
      </c>
      <c r="K98" s="73" t="s">
        <v>53</v>
      </c>
    </row>
    <row r="99" spans="1:11" x14ac:dyDescent="0.3">
      <c r="A99" s="68">
        <v>51</v>
      </c>
      <c r="B99" s="68" t="s">
        <v>252</v>
      </c>
      <c r="C99" s="68" t="s">
        <v>227</v>
      </c>
      <c r="D99" s="68" t="s">
        <v>55</v>
      </c>
      <c r="E99" s="68" t="s">
        <v>112</v>
      </c>
      <c r="F99" s="66"/>
      <c r="G99" s="66">
        <v>1</v>
      </c>
      <c r="H99" s="66" t="s">
        <v>234</v>
      </c>
      <c r="I99" s="70">
        <f t="shared" si="1"/>
        <v>1</v>
      </c>
      <c r="K99" s="66" t="s">
        <v>234</v>
      </c>
    </row>
    <row r="100" spans="1:11" x14ac:dyDescent="0.3">
      <c r="F100" s="66" t="s">
        <v>385</v>
      </c>
      <c r="G100" s="66">
        <v>2</v>
      </c>
      <c r="H100" s="73" t="s">
        <v>56</v>
      </c>
      <c r="I100" s="70">
        <f t="shared" si="1"/>
        <v>2</v>
      </c>
      <c r="K100" s="73" t="s">
        <v>56</v>
      </c>
    </row>
    <row r="101" spans="1:11" x14ac:dyDescent="0.3">
      <c r="A101" s="68">
        <v>52</v>
      </c>
      <c r="B101" s="68" t="s">
        <v>253</v>
      </c>
      <c r="C101" s="68" t="s">
        <v>227</v>
      </c>
      <c r="D101" s="68" t="s">
        <v>58</v>
      </c>
      <c r="E101" s="68" t="s">
        <v>112</v>
      </c>
      <c r="F101" s="66" t="s">
        <v>385</v>
      </c>
      <c r="G101" s="66" t="s">
        <v>144</v>
      </c>
      <c r="H101" s="66" t="s">
        <v>165</v>
      </c>
      <c r="I101" s="70" t="str">
        <f t="shared" si="1"/>
        <v>NA</v>
      </c>
      <c r="K101" s="66" t="s">
        <v>165</v>
      </c>
    </row>
    <row r="102" spans="1:11" x14ac:dyDescent="0.3">
      <c r="A102" s="68">
        <v>53</v>
      </c>
      <c r="B102" s="68" t="s">
        <v>254</v>
      </c>
      <c r="C102" s="68" t="s">
        <v>227</v>
      </c>
      <c r="D102" s="68" t="s">
        <v>62</v>
      </c>
      <c r="E102" s="68" t="s">
        <v>112</v>
      </c>
      <c r="F102" s="66"/>
      <c r="G102" s="66">
        <v>1</v>
      </c>
      <c r="H102" s="66" t="s">
        <v>236</v>
      </c>
      <c r="I102" s="70">
        <f t="shared" si="1"/>
        <v>1</v>
      </c>
      <c r="K102" s="66" t="s">
        <v>236</v>
      </c>
    </row>
    <row r="103" spans="1:11" x14ac:dyDescent="0.3">
      <c r="F103" s="66" t="s">
        <v>385</v>
      </c>
      <c r="G103" s="66">
        <v>2</v>
      </c>
      <c r="H103" s="66" t="s">
        <v>46</v>
      </c>
      <c r="I103" s="70">
        <f t="shared" si="1"/>
        <v>2</v>
      </c>
      <c r="K103" s="66" t="s">
        <v>46</v>
      </c>
    </row>
    <row r="104" spans="1:11" x14ac:dyDescent="0.3">
      <c r="A104" s="68">
        <v>54</v>
      </c>
      <c r="B104" s="68" t="s">
        <v>88</v>
      </c>
      <c r="C104" s="68" t="s">
        <v>227</v>
      </c>
      <c r="D104" s="68" t="s">
        <v>64</v>
      </c>
      <c r="E104" s="68" t="s">
        <v>255</v>
      </c>
      <c r="F104" s="66" t="s">
        <v>385</v>
      </c>
      <c r="G104" s="66" t="s">
        <v>144</v>
      </c>
      <c r="H104" s="66" t="s">
        <v>165</v>
      </c>
      <c r="I104" s="70" t="str">
        <f t="shared" si="1"/>
        <v>NA</v>
      </c>
      <c r="K104" s="66" t="s">
        <v>165</v>
      </c>
    </row>
    <row r="105" spans="1:11" x14ac:dyDescent="0.3">
      <c r="A105" s="68">
        <v>55</v>
      </c>
      <c r="B105" s="68" t="s">
        <v>256</v>
      </c>
      <c r="C105" s="68" t="s">
        <v>227</v>
      </c>
      <c r="D105" s="68" t="s">
        <v>67</v>
      </c>
      <c r="E105" s="68" t="s">
        <v>255</v>
      </c>
      <c r="G105" s="66" t="s">
        <v>144</v>
      </c>
      <c r="H105" s="66" t="s">
        <v>165</v>
      </c>
      <c r="I105" s="70" t="str">
        <f t="shared" si="1"/>
        <v>NA</v>
      </c>
      <c r="K105" s="66" t="s">
        <v>165</v>
      </c>
    </row>
    <row r="106" spans="1:11" x14ac:dyDescent="0.3">
      <c r="A106" s="68">
        <v>56</v>
      </c>
      <c r="B106" s="68" t="s">
        <v>257</v>
      </c>
      <c r="C106" s="68" t="s">
        <v>227</v>
      </c>
      <c r="D106" s="68" t="s">
        <v>69</v>
      </c>
      <c r="E106" s="68" t="s">
        <v>112</v>
      </c>
      <c r="G106" s="234">
        <v>1</v>
      </c>
      <c r="H106" s="234" t="s">
        <v>258</v>
      </c>
      <c r="I106" s="236">
        <f t="shared" ref="I106:I107" si="2">G106</f>
        <v>1</v>
      </c>
      <c r="J106" s="234"/>
      <c r="K106" s="234" t="s">
        <v>258</v>
      </c>
    </row>
    <row r="107" spans="1:11" x14ac:dyDescent="0.3">
      <c r="G107" s="234">
        <v>2</v>
      </c>
      <c r="H107" s="234" t="s">
        <v>70</v>
      </c>
      <c r="I107" s="236">
        <f t="shared" si="2"/>
        <v>2</v>
      </c>
      <c r="J107" s="234"/>
      <c r="K107" s="234" t="s">
        <v>70</v>
      </c>
    </row>
  </sheetData>
  <sheetProtection algorithmName="SHA-512" hashValue="BJ4+QXdUIA8xsI+06UUoNyW3kAVLuXmLZRS3aVLJu+Kkoa2FKhHv0l2UVqtiCmNnASwOvi1NFGU+bq1BcYUyzQ==" saltValue="NRgZw6baZ9/41DVwusdz2A==" spinCount="100000" sheet="1" objects="1" scenarios="1"/>
  <autoFilter ref="A2:K105" xr:uid="{00000000-0009-0000-0000-000002000000}"/>
  <sortState xmlns:xlrd2="http://schemas.microsoft.com/office/spreadsheetml/2017/richdata2" ref="J98:K100">
    <sortCondition descending="1" ref="J98"/>
  </sortState>
  <pageMargins left="0.7" right="0.7" top="0.75" bottom="0.75" header="0.3" footer="0.3"/>
  <pageSetup paperSize="9" scale="45"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topLeftCell="A36" workbookViewId="0">
      <selection activeCell="V27" sqref="V27"/>
    </sheetView>
  </sheetViews>
  <sheetFormatPr defaultColWidth="9.140625" defaultRowHeight="10.199999999999999" x14ac:dyDescent="0.2"/>
  <cols>
    <col min="1" max="16384" width="9.140625" style="27"/>
  </cols>
  <sheetData/>
  <sheetProtection algorithmName="SHA-512" hashValue="OcRtYEE55OHX3r2B2Z7rRCNarj4LN95sOJ4pVYxk8xyrGffRWTf46XksgQx2RCnLzjk97NKsh7v3CX3rj9iIPA==" saltValue="TesMp/b8yZ4dmrmrnBW19Q==" spinCount="100000" sheet="1" objects="1" scenarios="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68B2A-300C-D547-808C-572C47F60560}">
  <sheetPr codeName="Sheet6"/>
  <dimension ref="A1:A89"/>
  <sheetViews>
    <sheetView zoomScaleNormal="100" workbookViewId="0">
      <selection activeCell="A9" sqref="A9:XFD14"/>
    </sheetView>
  </sheetViews>
  <sheetFormatPr defaultColWidth="11" defaultRowHeight="12" x14ac:dyDescent="0.25"/>
  <cols>
    <col min="1" max="16384" width="11" style="9"/>
  </cols>
  <sheetData>
    <row r="1" s="9" customFormat="1" x14ac:dyDescent="0.25"/>
    <row r="2" s="9" customFormat="1" x14ac:dyDescent="0.25"/>
    <row r="3" s="9" customFormat="1" x14ac:dyDescent="0.25"/>
    <row r="4" s="9" customFormat="1" x14ac:dyDescent="0.25"/>
    <row r="5" s="9" customFormat="1" x14ac:dyDescent="0.25"/>
    <row r="6" s="9" customFormat="1" x14ac:dyDescent="0.25"/>
    <row r="7" s="9" customFormat="1" x14ac:dyDescent="0.25"/>
    <row r="8" s="9" customFormat="1" x14ac:dyDescent="0.25"/>
    <row r="11" s="9" customFormat="1" x14ac:dyDescent="0.25"/>
    <row r="12" s="9" customFormat="1" x14ac:dyDescent="0.25"/>
    <row r="13" s="9" customFormat="1" x14ac:dyDescent="0.25"/>
    <row r="14" s="9" customFormat="1" x14ac:dyDescent="0.25"/>
    <row r="15" s="9" customFormat="1" x14ac:dyDescent="0.25"/>
    <row r="75" s="9" customFormat="1" x14ac:dyDescent="0.25"/>
    <row r="88" s="9" customFormat="1" ht="10.95" customHeight="1" x14ac:dyDescent="0.25"/>
    <row r="89" s="9" customFormat="1" x14ac:dyDescent="0.25"/>
  </sheetData>
  <sheetProtection algorithmName="SHA-512" hashValue="dWz78y3BhoUj/vWm/TvVBksXEHeN3Km8H7Rn9BXfP3BiysmxWptmou4dmcq+h2ji0TH2xt0FWbvdgb5JRZanhg==" saltValue="t4+g9r1bPf7F55+gVThdmA==" spinCount="100000" sheet="1" objects="1" scenarios="1"/>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2AD3A-070D-1541-BAA4-F5F3FFF11CFD}">
  <sheetPr codeName="Sheet9"/>
  <dimension ref="A2:M277"/>
  <sheetViews>
    <sheetView workbookViewId="0">
      <selection activeCell="E3" sqref="E3:E153"/>
    </sheetView>
  </sheetViews>
  <sheetFormatPr defaultColWidth="12" defaultRowHeight="12" x14ac:dyDescent="0.25"/>
  <cols>
    <col min="1" max="1" width="11.42578125" customWidth="1"/>
    <col min="2" max="2" width="19.85546875" style="22" customWidth="1"/>
    <col min="3" max="3" width="9"/>
    <col min="4" max="4" width="0" hidden="1" customWidth="1"/>
  </cols>
  <sheetData>
    <row r="2" spans="1:13" ht="31.2" x14ac:dyDescent="0.3">
      <c r="A2" s="31" t="s">
        <v>113</v>
      </c>
      <c r="B2" s="46" t="s">
        <v>136</v>
      </c>
      <c r="C2" s="31" t="s">
        <v>115</v>
      </c>
      <c r="D2" s="45" t="s">
        <v>134</v>
      </c>
      <c r="E2" s="45" t="s">
        <v>134</v>
      </c>
      <c r="F2" s="45" t="s">
        <v>376</v>
      </c>
      <c r="H2" s="45" t="s">
        <v>377</v>
      </c>
      <c r="I2">
        <v>9.0999999999999998E-2</v>
      </c>
    </row>
    <row r="3" spans="1:13" ht="15.6" x14ac:dyDescent="0.3">
      <c r="A3" s="336" t="s">
        <v>378</v>
      </c>
      <c r="B3" s="22">
        <v>0</v>
      </c>
      <c r="C3" s="87"/>
      <c r="D3" s="240">
        <v>1</v>
      </c>
      <c r="F3" s="61">
        <v>1</v>
      </c>
      <c r="H3" t="s">
        <v>379</v>
      </c>
      <c r="I3">
        <v>5.84</v>
      </c>
    </row>
    <row r="4" spans="1:13" ht="15.6" x14ac:dyDescent="0.3">
      <c r="A4" s="337"/>
      <c r="B4" s="22">
        <v>1</v>
      </c>
      <c r="C4" s="87"/>
      <c r="D4" s="240">
        <f>1+27.82/(1+EXP(7.44925-0.13322*B4))</f>
        <v>1.0184823438547181</v>
      </c>
    </row>
    <row r="5" spans="1:13" ht="15.6" x14ac:dyDescent="0.3">
      <c r="A5" s="337"/>
      <c r="B5" s="22">
        <v>2</v>
      </c>
      <c r="C5" s="87"/>
      <c r="D5" s="240">
        <f t="shared" ref="D5:D68" si="0">1+27.82/(1+EXP(7.44925-0.13322*B5))</f>
        <v>1.0211141033669542</v>
      </c>
    </row>
    <row r="6" spans="1:13" ht="15.6" x14ac:dyDescent="0.3">
      <c r="A6" s="337"/>
      <c r="B6" s="22">
        <v>3</v>
      </c>
      <c r="C6" s="87"/>
      <c r="D6" s="240">
        <f t="shared" si="0"/>
        <v>1.0241202823320568</v>
      </c>
    </row>
    <row r="7" spans="1:13" ht="15.6" x14ac:dyDescent="0.3">
      <c r="A7" s="337"/>
      <c r="B7" s="22">
        <v>4</v>
      </c>
      <c r="C7" s="87"/>
      <c r="D7" s="240">
        <f t="shared" si="0"/>
        <v>1.0275540501127849</v>
      </c>
    </row>
    <row r="8" spans="1:13" ht="15.6" x14ac:dyDescent="0.3">
      <c r="A8" s="337"/>
      <c r="B8" s="22">
        <v>5</v>
      </c>
      <c r="C8" s="87"/>
      <c r="D8" s="240">
        <f t="shared" si="0"/>
        <v>1.03147609614557</v>
      </c>
    </row>
    <row r="9" spans="1:13" ht="15.6" x14ac:dyDescent="0.3">
      <c r="A9" s="337"/>
      <c r="B9" s="22">
        <v>6</v>
      </c>
      <c r="C9" s="87"/>
      <c r="D9" s="240">
        <f t="shared" si="0"/>
        <v>1.0359556843335291</v>
      </c>
    </row>
    <row r="10" spans="1:13" ht="15.6" x14ac:dyDescent="0.3">
      <c r="A10" s="337"/>
      <c r="B10" s="22">
        <v>7</v>
      </c>
      <c r="C10" s="87"/>
      <c r="D10" s="240">
        <f t="shared" si="0"/>
        <v>1.0410718524627907</v>
      </c>
    </row>
    <row r="11" spans="1:13" ht="15.6" x14ac:dyDescent="0.3">
      <c r="A11" s="337"/>
      <c r="B11" s="22">
        <v>8</v>
      </c>
      <c r="C11" s="87"/>
      <c r="D11" s="240">
        <f t="shared" si="0"/>
        <v>1.0469147757266339</v>
      </c>
    </row>
    <row r="12" spans="1:13" ht="15.6" x14ac:dyDescent="0.3">
      <c r="A12" s="337"/>
      <c r="B12" s="22">
        <v>9</v>
      </c>
      <c r="C12" s="87"/>
      <c r="D12" s="240">
        <f t="shared" si="0"/>
        <v>1.0535873156859707</v>
      </c>
    </row>
    <row r="13" spans="1:13" ht="15.6" x14ac:dyDescent="0.3">
      <c r="A13" s="337"/>
      <c r="B13" s="22">
        <v>10</v>
      </c>
      <c r="C13" s="87"/>
      <c r="D13" s="240">
        <f t="shared" si="0"/>
        <v>1.0612067784168835</v>
      </c>
      <c r="F13" s="61">
        <v>1.25</v>
      </c>
      <c r="L13" s="22"/>
      <c r="M13" s="87"/>
    </row>
    <row r="14" spans="1:13" ht="15.6" x14ac:dyDescent="0.3">
      <c r="A14" s="337"/>
      <c r="B14" s="22">
        <v>11</v>
      </c>
      <c r="C14" s="87"/>
      <c r="D14" s="240">
        <f t="shared" si="0"/>
        <v>1.06990690818014</v>
      </c>
      <c r="L14" s="22"/>
      <c r="M14" s="87"/>
    </row>
    <row r="15" spans="1:13" ht="15.6" x14ac:dyDescent="0.3">
      <c r="A15" s="337"/>
      <c r="B15" s="22">
        <v>12</v>
      </c>
      <c r="C15" s="87"/>
      <c r="D15" s="240">
        <f t="shared" si="0"/>
        <v>1.079840145663602</v>
      </c>
      <c r="L15" s="22"/>
      <c r="M15" s="87"/>
    </row>
    <row r="16" spans="1:13" ht="15.6" x14ac:dyDescent="0.3">
      <c r="A16" s="337"/>
      <c r="B16" s="22">
        <v>13</v>
      </c>
      <c r="C16" s="87"/>
      <c r="D16" s="240">
        <f t="shared" si="0"/>
        <v>1.0911801826465557</v>
      </c>
      <c r="L16" s="22"/>
      <c r="M16" s="87"/>
    </row>
    <row r="17" spans="1:13" ht="15.6" x14ac:dyDescent="0.3">
      <c r="A17" s="86"/>
      <c r="B17" s="22">
        <v>14</v>
      </c>
      <c r="C17" s="87"/>
      <c r="D17" s="240">
        <f t="shared" si="0"/>
        <v>1.1041248477395198</v>
      </c>
      <c r="L17" s="22"/>
      <c r="M17" s="87"/>
    </row>
    <row r="18" spans="1:13" ht="15.6" x14ac:dyDescent="0.3">
      <c r="A18" s="86"/>
      <c r="B18" s="22">
        <v>15</v>
      </c>
      <c r="C18" s="62"/>
      <c r="D18" s="240">
        <f t="shared" si="0"/>
        <v>1.1188993605534006</v>
      </c>
      <c r="L18" s="22"/>
      <c r="M18" s="87"/>
    </row>
    <row r="19" spans="1:13" ht="15.6" x14ac:dyDescent="0.3">
      <c r="A19" s="86"/>
      <c r="B19" s="22">
        <v>16</v>
      </c>
      <c r="C19" s="62"/>
      <c r="D19" s="240">
        <f t="shared" si="0"/>
        <v>1.135759994091599</v>
      </c>
      <c r="L19" s="22"/>
      <c r="M19" s="87"/>
    </row>
    <row r="20" spans="1:13" ht="15.6" x14ac:dyDescent="0.3">
      <c r="A20" s="86"/>
      <c r="B20" s="22">
        <v>17</v>
      </c>
      <c r="C20" s="62"/>
      <c r="D20" s="240">
        <f t="shared" si="0"/>
        <v>1.1549981871217097</v>
      </c>
      <c r="L20" s="22"/>
      <c r="M20" s="87"/>
    </row>
    <row r="21" spans="1:13" ht="15.6" x14ac:dyDescent="0.3">
      <c r="A21" s="86"/>
      <c r="B21" s="22">
        <v>18</v>
      </c>
      <c r="C21" s="62"/>
      <c r="D21" s="240">
        <f t="shared" si="0"/>
        <v>1.1769451494767933</v>
      </c>
      <c r="L21" s="22"/>
      <c r="M21" s="87"/>
    </row>
    <row r="22" spans="1:13" ht="15.6" x14ac:dyDescent="0.3">
      <c r="A22" s="86"/>
      <c r="B22" s="22">
        <v>19</v>
      </c>
      <c r="C22" s="62"/>
      <c r="D22" s="240">
        <f t="shared" si="0"/>
        <v>1.201977003268883</v>
      </c>
      <c r="L22" s="22"/>
      <c r="M22" s="87"/>
    </row>
    <row r="23" spans="1:13" ht="15.6" x14ac:dyDescent="0.3">
      <c r="A23" s="86"/>
      <c r="B23" s="22">
        <v>20</v>
      </c>
      <c r="C23" s="62"/>
      <c r="D23" s="240">
        <f t="shared" si="0"/>
        <v>1.2305205013549909</v>
      </c>
      <c r="F23" s="61">
        <v>1.5</v>
      </c>
      <c r="L23" s="22"/>
      <c r="M23" s="87"/>
    </row>
    <row r="24" spans="1:13" ht="15.6" x14ac:dyDescent="0.3">
      <c r="A24" s="86"/>
      <c r="B24" s="22">
        <v>21</v>
      </c>
      <c r="C24" s="62"/>
      <c r="D24" s="240">
        <f t="shared" si="0"/>
        <v>1.2630593604107414</v>
      </c>
      <c r="L24" s="22"/>
      <c r="M24" s="87"/>
    </row>
    <row r="25" spans="1:13" ht="15.6" x14ac:dyDescent="0.3">
      <c r="A25" s="86"/>
      <c r="B25" s="22">
        <v>22</v>
      </c>
      <c r="C25" s="62"/>
      <c r="D25" s="240">
        <f t="shared" si="0"/>
        <v>1.3001412387832953</v>
      </c>
      <c r="L25" s="22"/>
      <c r="M25" s="87"/>
    </row>
    <row r="26" spans="1:13" ht="15.6" x14ac:dyDescent="0.3">
      <c r="A26" s="86"/>
      <c r="B26" s="22">
        <v>23</v>
      </c>
      <c r="C26" s="62"/>
      <c r="D26" s="240">
        <f t="shared" si="0"/>
        <v>1.3423853778321457</v>
      </c>
      <c r="L26" s="22"/>
      <c r="M26" s="87"/>
    </row>
    <row r="27" spans="1:13" ht="15.6" x14ac:dyDescent="0.3">
      <c r="A27" s="86"/>
      <c r="B27" s="22">
        <v>24</v>
      </c>
      <c r="C27" s="62"/>
      <c r="D27" s="240">
        <f t="shared" si="0"/>
        <v>1.390490908376534</v>
      </c>
      <c r="L27" s="22"/>
      <c r="M27" s="87"/>
    </row>
    <row r="28" spans="1:13" x14ac:dyDescent="0.25">
      <c r="A28" s="86"/>
      <c r="B28" s="22">
        <v>25</v>
      </c>
      <c r="C28" s="62"/>
      <c r="D28" s="240">
        <f t="shared" si="0"/>
        <v>1.4452457995008232</v>
      </c>
    </row>
    <row r="29" spans="1:13" x14ac:dyDescent="0.25">
      <c r="A29" s="86"/>
      <c r="B29" s="22">
        <v>26</v>
      </c>
      <c r="C29" s="62"/>
      <c r="D29" s="240">
        <f t="shared" si="0"/>
        <v>1.5075363933390942</v>
      </c>
    </row>
    <row r="30" spans="1:13" x14ac:dyDescent="0.25">
      <c r="A30" s="86"/>
      <c r="B30" s="22">
        <v>27</v>
      </c>
      <c r="C30" s="62"/>
      <c r="D30" s="240">
        <f t="shared" si="0"/>
        <v>1.5783574242353728</v>
      </c>
    </row>
    <row r="31" spans="1:13" x14ac:dyDescent="0.25">
      <c r="A31" s="86"/>
      <c r="B31" s="22">
        <v>28</v>
      </c>
      <c r="C31" s="62"/>
      <c r="D31" s="240">
        <f t="shared" si="0"/>
        <v>1.6588223611958988</v>
      </c>
    </row>
    <row r="32" spans="1:13" x14ac:dyDescent="0.25">
      <c r="A32" s="86"/>
      <c r="B32" s="22">
        <v>29</v>
      </c>
      <c r="C32" s="62"/>
      <c r="D32" s="240">
        <f t="shared" si="0"/>
        <v>1.7501738358976022</v>
      </c>
    </row>
    <row r="33" spans="1:6" x14ac:dyDescent="0.25">
      <c r="A33" s="86"/>
      <c r="B33" s="22">
        <v>30</v>
      </c>
      <c r="C33" s="62"/>
      <c r="D33" s="240">
        <f t="shared" si="0"/>
        <v>1.8537938216723258</v>
      </c>
      <c r="F33" s="61">
        <v>2</v>
      </c>
    </row>
    <row r="34" spans="1:6" x14ac:dyDescent="0.25">
      <c r="A34" s="86"/>
      <c r="B34" s="22">
        <v>31</v>
      </c>
      <c r="C34" s="62"/>
      <c r="D34" s="240">
        <f t="shared" si="0"/>
        <v>1.9712131089991343</v>
      </c>
    </row>
    <row r="35" spans="1:6" x14ac:dyDescent="0.25">
      <c r="A35" s="86"/>
      <c r="B35" s="22">
        <v>32</v>
      </c>
      <c r="C35" s="62"/>
      <c r="D35" s="240">
        <f t="shared" si="0"/>
        <v>2.1041194778691028</v>
      </c>
    </row>
    <row r="36" spans="1:6" x14ac:dyDescent="0.25">
      <c r="A36" s="86"/>
      <c r="B36" s="22">
        <v>33</v>
      </c>
      <c r="C36" s="62"/>
      <c r="D36" s="240">
        <f t="shared" si="0"/>
        <v>2.2543637959774427</v>
      </c>
    </row>
    <row r="37" spans="1:6" x14ac:dyDescent="0.25">
      <c r="A37" s="86"/>
      <c r="B37" s="22">
        <v>34</v>
      </c>
      <c r="C37" s="62"/>
      <c r="D37" s="240">
        <f t="shared" si="0"/>
        <v>2.4239630753112027</v>
      </c>
    </row>
    <row r="38" spans="1:6" x14ac:dyDescent="0.25">
      <c r="A38" s="86"/>
      <c r="B38" s="22">
        <v>35</v>
      </c>
      <c r="C38" s="62"/>
      <c r="D38" s="240">
        <f t="shared" si="0"/>
        <v>2.6150993031053966</v>
      </c>
    </row>
    <row r="39" spans="1:6" x14ac:dyDescent="0.25">
      <c r="A39" s="86"/>
      <c r="B39" s="22">
        <v>36</v>
      </c>
      <c r="C39" s="62"/>
      <c r="D39" s="240">
        <f t="shared" si="0"/>
        <v>2.8301126362347606</v>
      </c>
    </row>
    <row r="40" spans="1:6" x14ac:dyDescent="0.25">
      <c r="A40" s="86"/>
      <c r="B40" s="22">
        <v>37</v>
      </c>
      <c r="C40" s="62"/>
      <c r="D40" s="240">
        <f t="shared" si="0"/>
        <v>3.0714873278477053</v>
      </c>
    </row>
    <row r="41" spans="1:6" x14ac:dyDescent="0.25">
      <c r="A41" s="86"/>
      <c r="B41" s="22">
        <v>38</v>
      </c>
      <c r="C41" s="62"/>
      <c r="D41" s="240">
        <f t="shared" si="0"/>
        <v>3.3418285675120027</v>
      </c>
    </row>
    <row r="42" spans="1:6" x14ac:dyDescent="0.25">
      <c r="A42" s="86"/>
      <c r="B42" s="22">
        <v>39</v>
      </c>
      <c r="C42" s="62"/>
      <c r="D42" s="240">
        <f t="shared" si="0"/>
        <v>3.643828298399336</v>
      </c>
    </row>
    <row r="43" spans="1:6" x14ac:dyDescent="0.25">
      <c r="A43" s="86"/>
      <c r="B43" s="22">
        <v>40</v>
      </c>
      <c r="C43" s="62"/>
      <c r="D43" s="240">
        <f t="shared" si="0"/>
        <v>3.9802180762504449</v>
      </c>
      <c r="F43" s="61">
        <v>4</v>
      </c>
    </row>
    <row r="44" spans="1:6" x14ac:dyDescent="0.25">
      <c r="A44" s="86"/>
      <c r="B44" s="22">
        <v>41</v>
      </c>
      <c r="C44" s="62"/>
      <c r="D44" s="240">
        <f t="shared" si="0"/>
        <v>4.3537072157474181</v>
      </c>
    </row>
    <row r="45" spans="1:6" x14ac:dyDescent="0.25">
      <c r="A45" s="86"/>
      <c r="B45" s="22">
        <v>42</v>
      </c>
      <c r="C45" s="62"/>
      <c r="D45" s="240">
        <f t="shared" si="0"/>
        <v>4.7669048994147882</v>
      </c>
    </row>
    <row r="46" spans="1:6" x14ac:dyDescent="0.25">
      <c r="A46" s="86"/>
      <c r="B46" s="22">
        <v>43</v>
      </c>
      <c r="C46" s="62"/>
      <c r="D46" s="240">
        <f t="shared" si="0"/>
        <v>5.2222256720222591</v>
      </c>
    </row>
    <row r="47" spans="1:6" x14ac:dyDescent="0.25">
      <c r="A47" s="86"/>
      <c r="B47" s="22">
        <v>44</v>
      </c>
      <c r="C47" s="62"/>
      <c r="D47" s="240">
        <f t="shared" si="0"/>
        <v>5.7217788675286387</v>
      </c>
    </row>
    <row r="48" spans="1:6" x14ac:dyDescent="0.25">
      <c r="A48" s="86"/>
      <c r="B48" s="22">
        <v>45</v>
      </c>
      <c r="C48" s="62"/>
      <c r="D48" s="240">
        <f t="shared" si="0"/>
        <v>6.2672440434066941</v>
      </c>
    </row>
    <row r="49" spans="1:6" x14ac:dyDescent="0.25">
      <c r="A49" s="86"/>
      <c r="B49" s="22">
        <v>46</v>
      </c>
      <c r="C49" s="62"/>
      <c r="D49" s="240">
        <f t="shared" si="0"/>
        <v>6.8597364026377772</v>
      </c>
    </row>
    <row r="50" spans="1:6" x14ac:dyDescent="0.25">
      <c r="A50" s="86"/>
      <c r="B50" s="22">
        <v>47</v>
      </c>
      <c r="C50" s="62"/>
      <c r="D50" s="240">
        <f t="shared" si="0"/>
        <v>7.499668362302609</v>
      </c>
    </row>
    <row r="51" spans="1:6" x14ac:dyDescent="0.25">
      <c r="A51" s="86"/>
      <c r="B51" s="22">
        <v>48</v>
      </c>
      <c r="C51" s="62"/>
      <c r="D51" s="240">
        <f t="shared" si="0"/>
        <v>8.1866156766629388</v>
      </c>
    </row>
    <row r="52" spans="1:6" x14ac:dyDescent="0.25">
      <c r="A52" s="86"/>
      <c r="B52" s="22">
        <v>49</v>
      </c>
      <c r="C52" s="62"/>
      <c r="D52" s="240">
        <f t="shared" si="0"/>
        <v>8.9191985345046092</v>
      </c>
    </row>
    <row r="53" spans="1:6" x14ac:dyDescent="0.25">
      <c r="A53" s="86"/>
      <c r="B53" s="22">
        <v>50</v>
      </c>
      <c r="C53" s="62"/>
      <c r="D53" s="240">
        <f t="shared" si="0"/>
        <v>9.6949894313619627</v>
      </c>
      <c r="F53" s="61">
        <v>7</v>
      </c>
    </row>
    <row r="54" spans="1:6" x14ac:dyDescent="0.25">
      <c r="A54" s="86"/>
      <c r="B54" s="22">
        <v>51</v>
      </c>
      <c r="C54" s="62"/>
      <c r="D54" s="240">
        <f t="shared" si="0"/>
        <v>10.510459937175755</v>
      </c>
    </row>
    <row r="55" spans="1:6" x14ac:dyDescent="0.25">
      <c r="A55" s="86"/>
      <c r="B55" s="22">
        <v>52</v>
      </c>
      <c r="C55" s="62"/>
      <c r="D55" s="240">
        <f t="shared" si="0"/>
        <v>11.36097735742659</v>
      </c>
    </row>
    <row r="56" spans="1:6" x14ac:dyDescent="0.25">
      <c r="A56" s="86"/>
      <c r="B56" s="22">
        <v>53</v>
      </c>
      <c r="C56" s="62"/>
      <c r="D56" s="240">
        <f t="shared" si="0"/>
        <v>12.240859495204525</v>
      </c>
    </row>
    <row r="57" spans="1:6" x14ac:dyDescent="0.25">
      <c r="A57" s="86"/>
      <c r="B57" s="22">
        <v>54</v>
      </c>
      <c r="C57" s="62"/>
      <c r="D57" s="240">
        <f t="shared" si="0"/>
        <v>13.143491299411313</v>
      </c>
    </row>
    <row r="58" spans="1:6" x14ac:dyDescent="0.25">
      <c r="A58" s="86"/>
      <c r="B58" s="22">
        <v>55</v>
      </c>
      <c r="C58" s="62"/>
      <c r="D58" s="240">
        <f t="shared" si="0"/>
        <v>14.061501498222688</v>
      </c>
    </row>
    <row r="59" spans="1:6" x14ac:dyDescent="0.25">
      <c r="A59" s="86"/>
      <c r="B59" s="22">
        <v>56</v>
      </c>
      <c r="C59" s="62"/>
      <c r="D59" s="240">
        <f t="shared" si="0"/>
        <v>14.986991063763091</v>
      </c>
    </row>
    <row r="60" spans="1:6" x14ac:dyDescent="0.25">
      <c r="A60" s="86"/>
      <c r="B60" s="22">
        <v>57</v>
      </c>
      <c r="C60" s="62"/>
      <c r="D60" s="240">
        <f t="shared" si="0"/>
        <v>15.911799463787974</v>
      </c>
    </row>
    <row r="61" spans="1:6" x14ac:dyDescent="0.25">
      <c r="A61" s="86"/>
      <c r="B61" s="22">
        <v>58</v>
      </c>
      <c r="C61" s="62"/>
      <c r="D61" s="240">
        <f t="shared" si="0"/>
        <v>16.827790112666513</v>
      </c>
    </row>
    <row r="62" spans="1:6" x14ac:dyDescent="0.25">
      <c r="A62" s="86"/>
      <c r="B62" s="22">
        <v>59</v>
      </c>
      <c r="C62" s="62"/>
      <c r="D62" s="240">
        <f t="shared" si="0"/>
        <v>17.727134051328264</v>
      </c>
    </row>
    <row r="63" spans="1:6" x14ac:dyDescent="0.25">
      <c r="A63" s="86"/>
      <c r="B63" s="22">
        <v>60</v>
      </c>
      <c r="C63" s="62"/>
      <c r="D63" s="240">
        <f t="shared" si="0"/>
        <v>18.602571107633324</v>
      </c>
      <c r="F63" s="61">
        <v>12</v>
      </c>
    </row>
    <row r="64" spans="1:6" x14ac:dyDescent="0.25">
      <c r="A64" s="86"/>
      <c r="B64" s="22">
        <v>61</v>
      </c>
      <c r="C64" s="62"/>
      <c r="D64" s="240">
        <f t="shared" si="0"/>
        <v>19.447630573107858</v>
      </c>
    </row>
    <row r="65" spans="1:6" x14ac:dyDescent="0.25">
      <c r="A65" s="86"/>
      <c r="B65" s="22">
        <v>62</v>
      </c>
      <c r="C65" s="62"/>
      <c r="D65" s="240">
        <f t="shared" si="0"/>
        <v>20.25679826304852</v>
      </c>
    </row>
    <row r="66" spans="1:6" x14ac:dyDescent="0.25">
      <c r="A66" s="86"/>
      <c r="B66" s="22">
        <v>63</v>
      </c>
      <c r="C66" s="62"/>
      <c r="D66" s="240">
        <f t="shared" si="0"/>
        <v>21.025622846867012</v>
      </c>
    </row>
    <row r="67" spans="1:6" x14ac:dyDescent="0.25">
      <c r="A67" s="86"/>
      <c r="B67" s="22">
        <v>64</v>
      </c>
      <c r="C67" s="62"/>
      <c r="D67" s="240">
        <f t="shared" si="0"/>
        <v>21.75076055446868</v>
      </c>
    </row>
    <row r="68" spans="1:6" x14ac:dyDescent="0.25">
      <c r="A68" s="86"/>
      <c r="B68" s="22">
        <v>65</v>
      </c>
      <c r="C68" s="62"/>
      <c r="D68" s="240">
        <f t="shared" si="0"/>
        <v>22.429962880573239</v>
      </c>
    </row>
    <row r="69" spans="1:6" x14ac:dyDescent="0.25">
      <c r="A69" s="86"/>
      <c r="B69" s="22">
        <v>66</v>
      </c>
      <c r="C69" s="62"/>
      <c r="D69" s="240">
        <f t="shared" ref="D69:D132" si="1">1+27.82/(1+EXP(7.44925-0.13322*B69))</f>
        <v>23.062016076108574</v>
      </c>
    </row>
    <row r="70" spans="1:6" x14ac:dyDescent="0.25">
      <c r="A70" s="86"/>
      <c r="B70" s="22">
        <v>67</v>
      </c>
      <c r="C70" s="62"/>
      <c r="D70" s="240">
        <f t="shared" si="1"/>
        <v>23.646643723484054</v>
      </c>
    </row>
    <row r="71" spans="1:6" x14ac:dyDescent="0.25">
      <c r="A71" s="86"/>
      <c r="B71" s="22">
        <v>68</v>
      </c>
      <c r="C71" s="62"/>
      <c r="D71" s="240">
        <f t="shared" si="1"/>
        <v>24.184384554108167</v>
      </c>
    </row>
    <row r="72" spans="1:6" x14ac:dyDescent="0.25">
      <c r="A72" s="86"/>
      <c r="B72" s="22">
        <v>69</v>
      </c>
      <c r="C72" s="62"/>
      <c r="D72" s="240">
        <f t="shared" si="1"/>
        <v>24.6764571412814</v>
      </c>
    </row>
    <row r="73" spans="1:6" x14ac:dyDescent="0.25">
      <c r="A73" s="86"/>
      <c r="B73" s="22">
        <v>70</v>
      </c>
      <c r="C73" s="62"/>
      <c r="D73" s="240">
        <f t="shared" si="1"/>
        <v>25.124621586185853</v>
      </c>
      <c r="F73" s="61">
        <v>18</v>
      </c>
    </row>
    <row r="74" spans="1:6" x14ac:dyDescent="0.25">
      <c r="A74" s="86"/>
      <c r="B74" s="22">
        <v>71</v>
      </c>
      <c r="C74" s="62"/>
      <c r="D74" s="240">
        <f t="shared" si="1"/>
        <v>25.53104623801498</v>
      </c>
    </row>
    <row r="75" spans="1:6" x14ac:dyDescent="0.25">
      <c r="A75" s="86"/>
      <c r="B75" s="22">
        <v>72</v>
      </c>
      <c r="C75" s="62"/>
      <c r="D75" s="240">
        <f t="shared" si="1"/>
        <v>25.898185233454925</v>
      </c>
    </row>
    <row r="76" spans="1:6" x14ac:dyDescent="0.25">
      <c r="A76" s="86"/>
      <c r="B76" s="22">
        <v>73</v>
      </c>
      <c r="C76" s="62"/>
      <c r="D76" s="240">
        <f t="shared" si="1"/>
        <v>26.228670496264709</v>
      </c>
    </row>
    <row r="77" spans="1:6" x14ac:dyDescent="0.25">
      <c r="A77" s="86"/>
      <c r="B77" s="22">
        <v>74</v>
      </c>
      <c r="C77" s="62"/>
      <c r="D77" s="240">
        <f t="shared" si="1"/>
        <v>26.525219990181203</v>
      </c>
    </row>
    <row r="78" spans="1:6" x14ac:dyDescent="0.25">
      <c r="A78" s="86"/>
      <c r="B78" s="22">
        <v>75</v>
      </c>
      <c r="C78" s="62"/>
      <c r="D78" s="240">
        <f t="shared" si="1"/>
        <v>26.79056255761828</v>
      </c>
    </row>
    <row r="79" spans="1:6" x14ac:dyDescent="0.25">
      <c r="A79" s="86"/>
      <c r="B79" s="22">
        <v>76</v>
      </c>
      <c r="C79" s="62"/>
      <c r="D79" s="240">
        <f t="shared" si="1"/>
        <v>27.027378618076828</v>
      </c>
    </row>
    <row r="80" spans="1:6" x14ac:dyDescent="0.25">
      <c r="A80" s="86"/>
      <c r="B80" s="22">
        <v>77</v>
      </c>
      <c r="C80" s="62"/>
      <c r="D80" s="240">
        <f t="shared" si="1"/>
        <v>27.238255309765766</v>
      </c>
    </row>
    <row r="81" spans="1:6" x14ac:dyDescent="0.25">
      <c r="A81" s="86"/>
      <c r="B81" s="22">
        <v>78</v>
      </c>
      <c r="C81" s="62"/>
      <c r="D81" s="240">
        <f t="shared" si="1"/>
        <v>27.425654274692388</v>
      </c>
    </row>
    <row r="82" spans="1:6" x14ac:dyDescent="0.25">
      <c r="A82" s="86"/>
      <c r="B82" s="22">
        <v>79</v>
      </c>
      <c r="C82" s="62"/>
      <c r="D82" s="240">
        <f t="shared" si="1"/>
        <v>27.591890141076835</v>
      </c>
    </row>
    <row r="83" spans="1:6" x14ac:dyDescent="0.25">
      <c r="A83" s="86"/>
      <c r="B83" s="22">
        <v>80</v>
      </c>
      <c r="C83" s="62"/>
      <c r="D83" s="240">
        <f t="shared" si="1"/>
        <v>27.739117779418759</v>
      </c>
      <c r="F83" s="61">
        <v>23</v>
      </c>
    </row>
    <row r="84" spans="1:6" x14ac:dyDescent="0.25">
      <c r="A84" s="86"/>
      <c r="B84" s="22">
        <v>81</v>
      </c>
      <c r="C84" s="62"/>
      <c r="D84" s="240">
        <f t="shared" si="1"/>
        <v>27.869326540961715</v>
      </c>
    </row>
    <row r="85" spans="1:6" x14ac:dyDescent="0.25">
      <c r="A85" s="86"/>
      <c r="B85" s="22">
        <v>82</v>
      </c>
      <c r="C85" s="62"/>
      <c r="D85" s="240">
        <f t="shared" si="1"/>
        <v>27.984339882529348</v>
      </c>
    </row>
    <row r="86" spans="1:6" x14ac:dyDescent="0.25">
      <c r="A86" s="86"/>
      <c r="B86" s="22">
        <v>83</v>
      </c>
      <c r="C86" s="62"/>
      <c r="D86" s="240">
        <f t="shared" si="1"/>
        <v>28.085819004608094</v>
      </c>
    </row>
    <row r="87" spans="1:6" x14ac:dyDescent="0.25">
      <c r="A87" s="86"/>
      <c r="B87" s="22">
        <v>84</v>
      </c>
      <c r="C87" s="62"/>
      <c r="D87" s="240">
        <f t="shared" si="1"/>
        <v>28.175269355702653</v>
      </c>
    </row>
    <row r="88" spans="1:6" x14ac:dyDescent="0.25">
      <c r="A88" s="86"/>
      <c r="B88" s="22">
        <v>85</v>
      </c>
      <c r="C88" s="62"/>
      <c r="D88" s="240">
        <f t="shared" si="1"/>
        <v>28.254049069752714</v>
      </c>
    </row>
    <row r="89" spans="1:6" x14ac:dyDescent="0.25">
      <c r="A89" s="86"/>
      <c r="B89" s="22">
        <v>86</v>
      </c>
      <c r="C89" s="62"/>
      <c r="D89" s="240">
        <f t="shared" si="1"/>
        <v>28.323378595852581</v>
      </c>
    </row>
    <row r="90" spans="1:6" x14ac:dyDescent="0.25">
      <c r="A90" s="86"/>
      <c r="B90" s="22">
        <v>87</v>
      </c>
      <c r="C90" s="62"/>
      <c r="D90" s="240">
        <f t="shared" si="1"/>
        <v>28.384350946577758</v>
      </c>
    </row>
    <row r="91" spans="1:6" x14ac:dyDescent="0.25">
      <c r="A91" s="86"/>
      <c r="B91" s="22">
        <v>88</v>
      </c>
      <c r="C91" s="62"/>
      <c r="D91" s="240">
        <f t="shared" si="1"/>
        <v>28.437942132077829</v>
      </c>
    </row>
    <row r="92" spans="1:6" x14ac:dyDescent="0.25">
      <c r="A92" s="86"/>
      <c r="B92" s="22">
        <v>89</v>
      </c>
      <c r="C92" s="62"/>
      <c r="D92" s="240">
        <f t="shared" si="1"/>
        <v>28.48502146297443</v>
      </c>
    </row>
    <row r="93" spans="1:6" x14ac:dyDescent="0.25">
      <c r="A93" s="86"/>
      <c r="B93" s="22">
        <v>90</v>
      </c>
      <c r="C93" s="62"/>
      <c r="D93" s="240">
        <f t="shared" si="1"/>
        <v>28.526361498385349</v>
      </c>
      <c r="F93" s="61">
        <v>26.5</v>
      </c>
    </row>
    <row r="94" spans="1:6" x14ac:dyDescent="0.25">
      <c r="A94" s="86"/>
      <c r="B94" s="22">
        <v>91</v>
      </c>
      <c r="C94" s="62"/>
      <c r="D94" s="240">
        <f t="shared" si="1"/>
        <v>28.562647488985093</v>
      </c>
    </row>
    <row r="95" spans="1:6" x14ac:dyDescent="0.25">
      <c r="A95" s="86"/>
      <c r="B95" s="22">
        <v>92</v>
      </c>
      <c r="C95" s="62"/>
      <c r="D95" s="240">
        <f t="shared" si="1"/>
        <v>28.594486221926648</v>
      </c>
    </row>
    <row r="96" spans="1:6" x14ac:dyDescent="0.25">
      <c r="A96" s="86"/>
      <c r="B96" s="22">
        <v>93</v>
      </c>
      <c r="C96" s="62"/>
      <c r="D96" s="240">
        <f t="shared" si="1"/>
        <v>28.622414217570952</v>
      </c>
    </row>
    <row r="97" spans="1:6" x14ac:dyDescent="0.25">
      <c r="A97" s="86"/>
      <c r="B97" s="22">
        <v>94</v>
      </c>
      <c r="C97" s="62"/>
      <c r="D97" s="240">
        <f t="shared" si="1"/>
        <v>28.646905259909158</v>
      </c>
    </row>
    <row r="98" spans="1:6" x14ac:dyDescent="0.25">
      <c r="A98" s="86"/>
      <c r="B98" s="22">
        <v>95</v>
      </c>
      <c r="C98" s="62"/>
      <c r="D98" s="240">
        <f t="shared" si="1"/>
        <v>28.668377265592344</v>
      </c>
    </row>
    <row r="99" spans="1:6" x14ac:dyDescent="0.25">
      <c r="A99" s="86"/>
      <c r="B99" s="22">
        <v>96</v>
      </c>
      <c r="C99" s="62"/>
      <c r="D99" s="240">
        <f t="shared" si="1"/>
        <v>28.687198512532341</v>
      </c>
    </row>
    <row r="100" spans="1:6" x14ac:dyDescent="0.25">
      <c r="A100" s="86"/>
      <c r="B100" s="22">
        <v>97</v>
      </c>
      <c r="C100" s="62"/>
      <c r="D100" s="240">
        <f t="shared" si="1"/>
        <v>28.703693259703517</v>
      </c>
    </row>
    <row r="101" spans="1:6" x14ac:dyDescent="0.25">
      <c r="A101" s="86"/>
      <c r="B101" s="22">
        <v>98</v>
      </c>
      <c r="C101" s="62"/>
      <c r="D101" s="240">
        <f t="shared" si="1"/>
        <v>28.718146796358905</v>
      </c>
    </row>
    <row r="102" spans="1:6" x14ac:dyDescent="0.25">
      <c r="A102" s="86"/>
      <c r="B102" s="22">
        <v>99</v>
      </c>
      <c r="C102" s="62"/>
      <c r="D102" s="240">
        <f t="shared" si="1"/>
        <v>28.730809962416092</v>
      </c>
    </row>
    <row r="103" spans="1:6" x14ac:dyDescent="0.25">
      <c r="A103" s="86"/>
      <c r="B103" s="22">
        <v>100</v>
      </c>
      <c r="C103" s="62"/>
      <c r="D103" s="240">
        <f t="shared" si="1"/>
        <v>28.741903183090589</v>
      </c>
      <c r="F103" s="61">
        <v>28</v>
      </c>
    </row>
    <row r="104" spans="1:6" x14ac:dyDescent="0.25">
      <c r="A104" s="86"/>
      <c r="B104" s="22">
        <v>101</v>
      </c>
      <c r="C104" s="62"/>
      <c r="D104" s="240">
        <f t="shared" si="1"/>
        <v>28.751620060596867</v>
      </c>
    </row>
    <row r="105" spans="1:6" x14ac:dyDescent="0.25">
      <c r="A105" s="86"/>
      <c r="B105" s="22">
        <v>102</v>
      </c>
      <c r="C105" s="62"/>
      <c r="D105" s="240">
        <f t="shared" si="1"/>
        <v>28.76013056439179</v>
      </c>
    </row>
    <row r="106" spans="1:6" x14ac:dyDescent="0.25">
      <c r="A106" s="86"/>
      <c r="B106" s="22">
        <v>103</v>
      </c>
      <c r="C106" s="62"/>
      <c r="D106" s="240">
        <f t="shared" si="1"/>
        <v>28.767583859374966</v>
      </c>
    </row>
    <row r="107" spans="1:6" x14ac:dyDescent="0.25">
      <c r="A107" s="86"/>
      <c r="B107" s="22">
        <v>104</v>
      </c>
      <c r="C107" s="62"/>
      <c r="D107" s="240">
        <f t="shared" si="1"/>
        <v>28.774110808964281</v>
      </c>
    </row>
    <row r="108" spans="1:6" x14ac:dyDescent="0.25">
      <c r="A108" s="86"/>
      <c r="B108" s="22">
        <v>105</v>
      </c>
      <c r="C108" s="62"/>
      <c r="D108" s="240">
        <f t="shared" si="1"/>
        <v>28.779826187237827</v>
      </c>
    </row>
    <row r="109" spans="1:6" x14ac:dyDescent="0.25">
      <c r="A109" s="86"/>
      <c r="B109" s="22">
        <v>106</v>
      </c>
      <c r="C109" s="62"/>
      <c r="D109" s="240">
        <f t="shared" si="1"/>
        <v>28.784830631523409</v>
      </c>
    </row>
    <row r="110" spans="1:6" x14ac:dyDescent="0.25">
      <c r="A110" s="86"/>
      <c r="B110" s="22">
        <v>107</v>
      </c>
      <c r="C110" s="62"/>
      <c r="D110" s="240">
        <f t="shared" si="1"/>
        <v>28.789212364027815</v>
      </c>
    </row>
    <row r="111" spans="1:6" x14ac:dyDescent="0.25">
      <c r="A111" s="86"/>
      <c r="B111" s="22">
        <v>108</v>
      </c>
      <c r="C111" s="62"/>
      <c r="D111" s="240">
        <f t="shared" si="1"/>
        <v>28.793048708401177</v>
      </c>
    </row>
    <row r="112" spans="1:6" x14ac:dyDescent="0.25">
      <c r="A112" s="86"/>
      <c r="B112" s="22">
        <v>109</v>
      </c>
      <c r="C112" s="62"/>
      <c r="D112" s="240">
        <f t="shared" si="1"/>
        <v>28.796407424572706</v>
      </c>
    </row>
    <row r="113" spans="1:6" x14ac:dyDescent="0.25">
      <c r="A113" s="86"/>
      <c r="B113" s="22">
        <v>110</v>
      </c>
      <c r="C113" s="62"/>
      <c r="D113" s="240">
        <f t="shared" si="1"/>
        <v>28.799347882800955</v>
      </c>
      <c r="F113" s="61">
        <v>28.5</v>
      </c>
    </row>
    <row r="114" spans="1:6" x14ac:dyDescent="0.25">
      <c r="A114" s="86"/>
      <c r="B114" s="22">
        <v>111</v>
      </c>
      <c r="C114" s="62"/>
      <c r="D114" s="240">
        <f t="shared" si="1"/>
        <v>28.80192209566772</v>
      </c>
    </row>
    <row r="115" spans="1:6" x14ac:dyDescent="0.25">
      <c r="A115" s="86"/>
      <c r="B115" s="22">
        <v>112</v>
      </c>
      <c r="C115" s="62"/>
      <c r="D115" s="240">
        <f t="shared" si="1"/>
        <v>28.804175624715988</v>
      </c>
    </row>
    <row r="116" spans="1:6" x14ac:dyDescent="0.25">
      <c r="A116" s="86"/>
      <c r="B116" s="22">
        <v>113</v>
      </c>
      <c r="C116" s="62"/>
      <c r="D116" s="240">
        <f t="shared" si="1"/>
        <v>28.806148376584904</v>
      </c>
    </row>
    <row r="117" spans="1:6" x14ac:dyDescent="0.25">
      <c r="A117" s="86"/>
      <c r="B117" s="22">
        <v>114</v>
      </c>
      <c r="C117" s="62"/>
      <c r="D117" s="240">
        <f t="shared" si="1"/>
        <v>28.807875301824161</v>
      </c>
    </row>
    <row r="118" spans="1:6" x14ac:dyDescent="0.25">
      <c r="A118" s="86"/>
      <c r="B118" s="22">
        <v>115</v>
      </c>
      <c r="C118" s="62"/>
      <c r="D118" s="240">
        <f t="shared" si="1"/>
        <v>28.809387008065194</v>
      </c>
    </row>
    <row r="119" spans="1:6" x14ac:dyDescent="0.25">
      <c r="A119" s="86"/>
      <c r="B119" s="22">
        <v>116</v>
      </c>
      <c r="C119" s="62"/>
      <c r="D119" s="240">
        <f t="shared" si="1"/>
        <v>28.810710297877474</v>
      </c>
    </row>
    <row r="120" spans="1:6" x14ac:dyDescent="0.25">
      <c r="A120" s="86"/>
      <c r="B120" s="22">
        <v>117</v>
      </c>
      <c r="C120" s="62"/>
      <c r="D120" s="240">
        <f t="shared" si="1"/>
        <v>28.811868640432262</v>
      </c>
    </row>
    <row r="121" spans="1:6" x14ac:dyDescent="0.25">
      <c r="A121" s="86"/>
      <c r="B121" s="22">
        <v>118</v>
      </c>
      <c r="C121" s="62"/>
      <c r="D121" s="240">
        <f t="shared" si="1"/>
        <v>28.812882585021516</v>
      </c>
    </row>
    <row r="122" spans="1:6" x14ac:dyDescent="0.25">
      <c r="A122" s="86"/>
      <c r="B122" s="22">
        <v>119</v>
      </c>
      <c r="C122" s="62"/>
      <c r="D122" s="240">
        <f t="shared" si="1"/>
        <v>28.813770123524542</v>
      </c>
    </row>
    <row r="123" spans="1:6" x14ac:dyDescent="0.25">
      <c r="A123" s="86"/>
      <c r="B123" s="22">
        <v>120</v>
      </c>
      <c r="C123" s="62"/>
      <c r="D123" s="240">
        <f t="shared" si="1"/>
        <v>28.814547008067457</v>
      </c>
      <c r="F123" s="61">
        <v>28.75</v>
      </c>
    </row>
    <row r="124" spans="1:6" x14ac:dyDescent="0.25">
      <c r="A124" s="86"/>
      <c r="B124" s="22">
        <v>121</v>
      </c>
      <c r="C124" s="62"/>
      <c r="D124" s="240">
        <f t="shared" si="1"/>
        <v>28.815227029370217</v>
      </c>
    </row>
    <row r="125" spans="1:6" x14ac:dyDescent="0.25">
      <c r="A125" s="86"/>
      <c r="B125" s="22">
        <v>122</v>
      </c>
      <c r="C125" s="62"/>
      <c r="D125" s="240">
        <f t="shared" si="1"/>
        <v>28.815822260612553</v>
      </c>
    </row>
    <row r="126" spans="1:6" x14ac:dyDescent="0.25">
      <c r="A126" s="86"/>
      <c r="B126" s="22">
        <v>123</v>
      </c>
      <c r="C126" s="62"/>
      <c r="D126" s="240">
        <f t="shared" si="1"/>
        <v>28.81634327106427</v>
      </c>
    </row>
    <row r="127" spans="1:6" x14ac:dyDescent="0.25">
      <c r="A127" s="86"/>
      <c r="B127" s="22">
        <v>124</v>
      </c>
      <c r="C127" s="62"/>
      <c r="D127" s="240">
        <f t="shared" si="1"/>
        <v>28.816799313208854</v>
      </c>
    </row>
    <row r="128" spans="1:6" x14ac:dyDescent="0.25">
      <c r="A128" s="86"/>
      <c r="B128" s="22">
        <v>125</v>
      </c>
      <c r="C128" s="62"/>
      <c r="D128" s="240">
        <f t="shared" si="1"/>
        <v>28.817198486634098</v>
      </c>
    </row>
    <row r="129" spans="1:6" x14ac:dyDescent="0.25">
      <c r="A129" s="86"/>
      <c r="B129" s="22">
        <v>126</v>
      </c>
      <c r="C129" s="62"/>
      <c r="D129" s="240">
        <f t="shared" si="1"/>
        <v>28.817547881562518</v>
      </c>
    </row>
    <row r="130" spans="1:6" x14ac:dyDescent="0.25">
      <c r="A130" s="86"/>
      <c r="B130" s="22">
        <v>127</v>
      </c>
      <c r="C130" s="62"/>
      <c r="D130" s="240">
        <f t="shared" si="1"/>
        <v>28.817853704542152</v>
      </c>
    </row>
    <row r="131" spans="1:6" x14ac:dyDescent="0.25">
      <c r="A131" s="86"/>
      <c r="B131" s="22">
        <v>128</v>
      </c>
      <c r="C131" s="62"/>
      <c r="D131" s="240">
        <f t="shared" si="1"/>
        <v>28.818121388508104</v>
      </c>
    </row>
    <row r="132" spans="1:6" x14ac:dyDescent="0.25">
      <c r="A132" s="86"/>
      <c r="B132" s="22">
        <v>129</v>
      </c>
      <c r="C132" s="62"/>
      <c r="D132" s="240">
        <f t="shared" si="1"/>
        <v>28.818355689153108</v>
      </c>
    </row>
    <row r="133" spans="1:6" x14ac:dyDescent="0.25">
      <c r="A133" s="86"/>
      <c r="B133" s="22">
        <v>130</v>
      </c>
      <c r="C133" s="62"/>
      <c r="D133" s="240">
        <f t="shared" ref="D133:D153" si="2">1+27.82/(1+EXP(7.44925-0.13322*B133))</f>
        <v>28.818560769306121</v>
      </c>
      <c r="F133" s="61">
        <v>28.8</v>
      </c>
    </row>
    <row r="134" spans="1:6" x14ac:dyDescent="0.25">
      <c r="A134" s="86"/>
      <c r="B134" s="22">
        <v>131</v>
      </c>
      <c r="C134" s="62"/>
      <c r="D134" s="240">
        <f t="shared" si="2"/>
        <v>28.818740272808167</v>
      </c>
    </row>
    <row r="135" spans="1:6" x14ac:dyDescent="0.25">
      <c r="A135" s="86"/>
      <c r="B135" s="22">
        <v>132</v>
      </c>
      <c r="C135" s="62"/>
      <c r="D135" s="240">
        <f t="shared" si="2"/>
        <v>28.818897389190308</v>
      </c>
    </row>
    <row r="136" spans="1:6" x14ac:dyDescent="0.25">
      <c r="A136" s="86"/>
      <c r="B136" s="22">
        <v>133</v>
      </c>
      <c r="C136" s="62"/>
      <c r="D136" s="240">
        <f t="shared" si="2"/>
        <v>28.819034910297134</v>
      </c>
    </row>
    <row r="137" spans="1:6" x14ac:dyDescent="0.25">
      <c r="A137" s="86"/>
      <c r="B137" s="22">
        <v>134</v>
      </c>
      <c r="C137" s="62"/>
      <c r="D137" s="240">
        <f t="shared" si="2"/>
        <v>28.819155279857473</v>
      </c>
    </row>
    <row r="138" spans="1:6" x14ac:dyDescent="0.25">
      <c r="A138" s="86"/>
      <c r="B138" s="22">
        <v>135</v>
      </c>
      <c r="C138" s="62"/>
      <c r="D138" s="240">
        <f t="shared" si="2"/>
        <v>28.819260636879665</v>
      </c>
    </row>
    <row r="139" spans="1:6" x14ac:dyDescent="0.25">
      <c r="A139" s="86"/>
      <c r="B139" s="22">
        <v>136</v>
      </c>
      <c r="C139" s="62"/>
      <c r="D139" s="240">
        <f t="shared" si="2"/>
        <v>28.819352853639955</v>
      </c>
    </row>
    <row r="140" spans="1:6" x14ac:dyDescent="0.25">
      <c r="A140" s="86"/>
      <c r="B140" s="22">
        <v>137</v>
      </c>
      <c r="C140" s="62"/>
      <c r="D140" s="240">
        <f t="shared" si="2"/>
        <v>28.819433568937036</v>
      </c>
    </row>
    <row r="141" spans="1:6" x14ac:dyDescent="0.25">
      <c r="A141" s="86"/>
      <c r="B141" s="22">
        <v>138</v>
      </c>
      <c r="C141" s="62"/>
      <c r="D141" s="240">
        <f t="shared" si="2"/>
        <v>28.819504217202173</v>
      </c>
    </row>
    <row r="142" spans="1:6" x14ac:dyDescent="0.25">
      <c r="A142" s="86"/>
      <c r="B142" s="22">
        <v>139</v>
      </c>
      <c r="C142" s="62"/>
      <c r="D142" s="240">
        <f t="shared" si="2"/>
        <v>28.819566053981085</v>
      </c>
    </row>
    <row r="143" spans="1:6" x14ac:dyDescent="0.25">
      <c r="A143" s="86"/>
      <c r="B143" s="22">
        <v>140</v>
      </c>
      <c r="C143" s="62"/>
      <c r="D143" s="240">
        <f t="shared" si="2"/>
        <v>28.819620178239436</v>
      </c>
      <c r="F143" s="61">
        <v>28.82</v>
      </c>
    </row>
    <row r="144" spans="1:6" x14ac:dyDescent="0.25">
      <c r="A144" s="86"/>
      <c r="B144" s="22">
        <v>141</v>
      </c>
      <c r="C144" s="62"/>
      <c r="D144" s="240">
        <f t="shared" si="2"/>
        <v>28.81966755188779</v>
      </c>
    </row>
    <row r="145" spans="1:5" x14ac:dyDescent="0.25">
      <c r="A145" s="86"/>
      <c r="B145" s="22">
        <v>142</v>
      </c>
      <c r="C145" s="62"/>
      <c r="D145" s="240">
        <f t="shared" si="2"/>
        <v>28.819709016872352</v>
      </c>
    </row>
    <row r="146" spans="1:5" x14ac:dyDescent="0.25">
      <c r="A146" s="86"/>
      <c r="B146" s="22">
        <v>143</v>
      </c>
      <c r="C146" s="62"/>
      <c r="D146" s="240">
        <f t="shared" si="2"/>
        <v>28.819745310134948</v>
      </c>
    </row>
    <row r="147" spans="1:5" x14ac:dyDescent="0.25">
      <c r="A147" s="86"/>
      <c r="B147" s="22">
        <v>144</v>
      </c>
      <c r="C147" s="62"/>
      <c r="D147" s="240">
        <f t="shared" si="2"/>
        <v>28.819777076707744</v>
      </c>
    </row>
    <row r="148" spans="1:5" x14ac:dyDescent="0.25">
      <c r="A148" s="86"/>
      <c r="B148" s="22">
        <v>145</v>
      </c>
      <c r="C148" s="62"/>
      <c r="D148" s="240">
        <f t="shared" si="2"/>
        <v>28.819804881175219</v>
      </c>
    </row>
    <row r="149" spans="1:5" x14ac:dyDescent="0.25">
      <c r="A149" s="86"/>
      <c r="B149" s="22">
        <v>146</v>
      </c>
      <c r="C149" s="62"/>
      <c r="D149" s="240">
        <f t="shared" si="2"/>
        <v>28.8198292177069</v>
      </c>
    </row>
    <row r="150" spans="1:5" x14ac:dyDescent="0.25">
      <c r="A150" s="86"/>
      <c r="B150" s="22">
        <v>147</v>
      </c>
      <c r="C150" s="62"/>
      <c r="D150" s="240">
        <f t="shared" si="2"/>
        <v>28.819850518839033</v>
      </c>
    </row>
    <row r="151" spans="1:5" x14ac:dyDescent="0.25">
      <c r="A151" s="86"/>
      <c r="B151" s="22">
        <v>148</v>
      </c>
      <c r="C151" s="62"/>
      <c r="D151" s="240">
        <f t="shared" si="2"/>
        <v>28.819869163161215</v>
      </c>
    </row>
    <row r="152" spans="1:5" x14ac:dyDescent="0.25">
      <c r="A152" s="86"/>
      <c r="B152" s="22">
        <v>149</v>
      </c>
      <c r="C152" s="62"/>
      <c r="D152" s="240">
        <f t="shared" si="2"/>
        <v>28.819885482044409</v>
      </c>
    </row>
    <row r="153" spans="1:5" x14ac:dyDescent="0.25">
      <c r="A153" s="86"/>
      <c r="B153" s="22">
        <v>150</v>
      </c>
      <c r="C153" s="62"/>
      <c r="D153" s="240">
        <f t="shared" si="2"/>
        <v>28.81989976553</v>
      </c>
    </row>
    <row r="154" spans="1:5" x14ac:dyDescent="0.25">
      <c r="A154" s="86"/>
      <c r="B154" s="231">
        <v>1001</v>
      </c>
      <c r="C154" s="62"/>
      <c r="D154" s="240">
        <f>1+27.82/(1+EXP(7.44925-0.13322*((B154-1000)*1.609344)))</f>
        <v>1.0200441335480506</v>
      </c>
      <c r="E154" s="240"/>
    </row>
    <row r="155" spans="1:5" x14ac:dyDescent="0.25">
      <c r="A155" s="86"/>
      <c r="B155" s="231">
        <v>1002</v>
      </c>
      <c r="C155" s="62"/>
      <c r="D155" s="240">
        <f t="shared" ref="D155:D218" si="3">1+27.82/(1+EXP(7.44925-0.13322*((B155-1000)*1.609344)))</f>
        <v>1.0248326932704201</v>
      </c>
      <c r="E155" s="240"/>
    </row>
    <row r="156" spans="1:5" x14ac:dyDescent="0.25">
      <c r="A156" s="86"/>
      <c r="B156" s="231">
        <v>1003</v>
      </c>
      <c r="C156" s="62"/>
      <c r="D156" s="240">
        <f t="shared" si="3"/>
        <v>1.0307639778221893</v>
      </c>
      <c r="E156" s="240"/>
    </row>
    <row r="157" spans="1:5" x14ac:dyDescent="0.25">
      <c r="A157" s="86"/>
      <c r="B157" s="231">
        <v>1004</v>
      </c>
      <c r="C157" s="62"/>
      <c r="D157" s="240">
        <f t="shared" si="3"/>
        <v>1.0381100062561521</v>
      </c>
      <c r="E157" s="240"/>
    </row>
    <row r="158" spans="1:5" x14ac:dyDescent="0.25">
      <c r="A158" s="86"/>
      <c r="B158" s="231">
        <v>1005</v>
      </c>
      <c r="C158" s="62"/>
      <c r="D158" s="240">
        <f t="shared" si="3"/>
        <v>1.0472071886552112</v>
      </c>
      <c r="E158" s="240"/>
    </row>
    <row r="159" spans="1:5" x14ac:dyDescent="0.25">
      <c r="A159" s="86"/>
      <c r="B159" s="231">
        <v>1006</v>
      </c>
      <c r="C159" s="62"/>
      <c r="D159" s="240">
        <f t="shared" si="3"/>
        <v>1.0584713753899146</v>
      </c>
      <c r="E159" s="240"/>
    </row>
    <row r="160" spans="1:5" x14ac:dyDescent="0.25">
      <c r="A160" s="86"/>
      <c r="B160" s="231">
        <v>1007</v>
      </c>
      <c r="C160" s="62"/>
      <c r="D160" s="240">
        <f t="shared" si="3"/>
        <v>1.0724163204474124</v>
      </c>
      <c r="E160" s="240"/>
    </row>
    <row r="161" spans="1:5" x14ac:dyDescent="0.25">
      <c r="A161" s="86"/>
      <c r="B161" s="231">
        <v>1008</v>
      </c>
      <c r="C161" s="62"/>
      <c r="D161" s="240">
        <f t="shared" si="3"/>
        <v>1.089676277934986</v>
      </c>
      <c r="E161" s="240"/>
    </row>
    <row r="162" spans="1:5" x14ac:dyDescent="0.25">
      <c r="A162" s="86"/>
      <c r="B162" s="231">
        <v>1009</v>
      </c>
      <c r="C162" s="62"/>
      <c r="D162" s="240">
        <f t="shared" si="3"/>
        <v>1.1110335720712732</v>
      </c>
      <c r="E162" s="240"/>
    </row>
    <row r="163" spans="1:5" x14ac:dyDescent="0.25">
      <c r="A163" s="86"/>
      <c r="B163" s="231">
        <v>1010</v>
      </c>
      <c r="C163" s="62"/>
      <c r="D163" s="240">
        <f t="shared" si="3"/>
        <v>1.1374521051875615</v>
      </c>
      <c r="E163" s="240"/>
    </row>
    <row r="164" spans="1:5" x14ac:dyDescent="0.25">
      <c r="A164" s="86"/>
      <c r="B164" s="231">
        <v>1011</v>
      </c>
      <c r="C164" s="62"/>
      <c r="D164" s="240">
        <f t="shared" si="3"/>
        <v>1.1701178833163133</v>
      </c>
      <c r="E164" s="240"/>
    </row>
    <row r="165" spans="1:5" x14ac:dyDescent="0.25">
      <c r="A165" s="86"/>
      <c r="B165" s="231">
        <v>1012</v>
      </c>
      <c r="C165" s="62"/>
      <c r="D165" s="240">
        <f t="shared" si="3"/>
        <v>1.2104877237988254</v>
      </c>
      <c r="E165" s="240"/>
    </row>
    <row r="166" spans="1:5" x14ac:dyDescent="0.25">
      <c r="A166" s="86"/>
      <c r="B166" s="231">
        <v>1013</v>
      </c>
      <c r="C166" s="62"/>
      <c r="D166" s="240">
        <f t="shared" si="3"/>
        <v>1.2603473295027987</v>
      </c>
      <c r="E166" s="240"/>
    </row>
    <row r="167" spans="1:5" x14ac:dyDescent="0.25">
      <c r="A167" s="86"/>
      <c r="B167" s="231">
        <v>1014</v>
      </c>
      <c r="C167" s="62"/>
      <c r="D167" s="240">
        <f t="shared" si="3"/>
        <v>1.3218798154453282</v>
      </c>
      <c r="E167" s="240"/>
    </row>
    <row r="168" spans="1:5" x14ac:dyDescent="0.25">
      <c r="A168" s="86"/>
      <c r="B168" s="231">
        <v>1015</v>
      </c>
      <c r="C168" s="62"/>
      <c r="D168" s="240">
        <f t="shared" si="3"/>
        <v>1.3977454735078887</v>
      </c>
      <c r="E168" s="240"/>
    </row>
    <row r="169" spans="1:5" x14ac:dyDescent="0.25">
      <c r="A169" s="86"/>
      <c r="B169" s="231">
        <v>1016</v>
      </c>
      <c r="C169" s="62"/>
      <c r="D169" s="240">
        <f t="shared" si="3"/>
        <v>1.491172938778953</v>
      </c>
      <c r="E169" s="240"/>
    </row>
    <row r="170" spans="1:5" x14ac:dyDescent="0.25">
      <c r="A170" s="86"/>
      <c r="B170" s="231">
        <v>1017</v>
      </c>
      <c r="C170" s="62"/>
      <c r="D170" s="240">
        <f t="shared" si="3"/>
        <v>1.6060608065774726</v>
      </c>
      <c r="E170" s="240"/>
    </row>
    <row r="171" spans="1:5" x14ac:dyDescent="0.25">
      <c r="A171" s="86"/>
      <c r="B171" s="231">
        <v>1018</v>
      </c>
      <c r="C171" s="62"/>
      <c r="D171" s="240">
        <f t="shared" si="3"/>
        <v>1.7470869132982823</v>
      </c>
      <c r="E171" s="240"/>
    </row>
    <row r="172" spans="1:5" x14ac:dyDescent="0.25">
      <c r="A172" s="86"/>
      <c r="B172" s="231">
        <v>1019</v>
      </c>
      <c r="C172" s="62"/>
      <c r="D172" s="240">
        <f t="shared" si="3"/>
        <v>1.9198196479818772</v>
      </c>
      <c r="E172" s="240"/>
    </row>
    <row r="173" spans="1:5" x14ac:dyDescent="0.25">
      <c r="A173" s="86"/>
      <c r="B173" s="231">
        <v>1020</v>
      </c>
      <c r="C173" s="62"/>
      <c r="D173" s="240">
        <f t="shared" si="3"/>
        <v>2.1308214755690544</v>
      </c>
      <c r="E173" s="240"/>
    </row>
    <row r="174" spans="1:5" x14ac:dyDescent="0.25">
      <c r="A174" s="86"/>
      <c r="B174" s="231">
        <v>1021</v>
      </c>
      <c r="C174" s="62"/>
      <c r="D174" s="240">
        <f t="shared" si="3"/>
        <v>2.3877290174371293</v>
      </c>
      <c r="E174" s="240"/>
    </row>
    <row r="175" spans="1:5" x14ac:dyDescent="0.25">
      <c r="A175" s="86"/>
      <c r="B175" s="231">
        <v>1022</v>
      </c>
      <c r="C175" s="62"/>
      <c r="D175" s="240">
        <f t="shared" si="3"/>
        <v>2.6992863917447338</v>
      </c>
      <c r="E175" s="240"/>
    </row>
    <row r="176" spans="1:5" x14ac:dyDescent="0.25">
      <c r="A176" s="86"/>
      <c r="B176" s="231">
        <v>1023</v>
      </c>
      <c r="C176" s="62"/>
      <c r="D176" s="240">
        <f t="shared" si="3"/>
        <v>3.0752993005134948</v>
      </c>
      <c r="E176" s="240"/>
    </row>
    <row r="177" spans="1:5" x14ac:dyDescent="0.25">
      <c r="A177" s="86"/>
      <c r="B177" s="231">
        <v>1024</v>
      </c>
      <c r="C177" s="62"/>
      <c r="D177" s="240">
        <f t="shared" si="3"/>
        <v>3.5264675756666941</v>
      </c>
      <c r="E177" s="240"/>
    </row>
    <row r="178" spans="1:5" x14ac:dyDescent="0.25">
      <c r="A178" s="86"/>
      <c r="B178" s="231">
        <v>1025</v>
      </c>
      <c r="C178" s="62"/>
      <c r="D178" s="240">
        <f t="shared" si="3"/>
        <v>4.0640458716313974</v>
      </c>
      <c r="E178" s="240"/>
    </row>
    <row r="179" spans="1:5" x14ac:dyDescent="0.25">
      <c r="A179" s="86"/>
      <c r="B179" s="231">
        <v>1026</v>
      </c>
      <c r="C179" s="62"/>
      <c r="D179" s="240">
        <f t="shared" si="3"/>
        <v>4.6992800504204215</v>
      </c>
      <c r="E179" s="240"/>
    </row>
    <row r="180" spans="1:5" x14ac:dyDescent="0.25">
      <c r="A180" s="86"/>
      <c r="B180" s="231">
        <v>1027</v>
      </c>
      <c r="C180" s="62"/>
      <c r="D180" s="240">
        <f t="shared" si="3"/>
        <v>5.4425767067139486</v>
      </c>
      <c r="E180" s="240"/>
    </row>
    <row r="181" spans="1:5" x14ac:dyDescent="0.25">
      <c r="A181" s="86"/>
      <c r="B181" s="231">
        <v>1028</v>
      </c>
      <c r="C181" s="62"/>
      <c r="D181" s="240">
        <f t="shared" si="3"/>
        <v>6.3023926715581799</v>
      </c>
      <c r="E181" s="240"/>
    </row>
    <row r="182" spans="1:5" x14ac:dyDescent="0.25">
      <c r="A182" s="86"/>
      <c r="B182" s="231">
        <v>1029</v>
      </c>
      <c r="C182" s="62"/>
      <c r="D182" s="240">
        <f t="shared" si="3"/>
        <v>7.2838864412730544</v>
      </c>
      <c r="E182" s="240"/>
    </row>
    <row r="183" spans="1:5" x14ac:dyDescent="0.25">
      <c r="A183" s="86"/>
      <c r="B183" s="231">
        <v>1030</v>
      </c>
      <c r="C183" s="62"/>
      <c r="D183" s="240">
        <f t="shared" si="3"/>
        <v>8.3874545216452923</v>
      </c>
      <c r="E183" s="240"/>
    </row>
    <row r="184" spans="1:5" x14ac:dyDescent="0.25">
      <c r="A184" s="86"/>
      <c r="B184" s="231">
        <v>1031</v>
      </c>
      <c r="C184" s="62"/>
      <c r="D184" s="240">
        <f t="shared" si="3"/>
        <v>9.6073705964574199</v>
      </c>
      <c r="E184" s="240"/>
    </row>
    <row r="185" spans="1:5" x14ac:dyDescent="0.25">
      <c r="A185" s="86"/>
      <c r="B185" s="231">
        <v>1032</v>
      </c>
      <c r="C185" s="62"/>
      <c r="D185" s="240">
        <f t="shared" si="3"/>
        <v>10.930825452706557</v>
      </c>
      <c r="E185" s="240"/>
    </row>
    <row r="186" spans="1:5" x14ac:dyDescent="0.25">
      <c r="A186" s="86"/>
      <c r="B186" s="231">
        <v>1033</v>
      </c>
      <c r="C186" s="62"/>
      <c r="D186" s="240">
        <f t="shared" si="3"/>
        <v>12.33768841579788</v>
      </c>
      <c r="E186" s="240"/>
    </row>
    <row r="187" spans="1:5" x14ac:dyDescent="0.25">
      <c r="A187" s="86"/>
      <c r="B187" s="231">
        <v>1034</v>
      </c>
      <c r="C187" s="62"/>
      <c r="D187" s="240">
        <f t="shared" si="3"/>
        <v>13.80123658760283</v>
      </c>
      <c r="E187" s="240"/>
    </row>
    <row r="188" spans="1:5" x14ac:dyDescent="0.25">
      <c r="A188" s="86"/>
      <c r="B188" s="231">
        <v>1035</v>
      </c>
      <c r="C188" s="62"/>
      <c r="D188" s="240">
        <f t="shared" si="3"/>
        <v>15.289914649659737</v>
      </c>
      <c r="E188" s="240"/>
    </row>
    <row r="189" spans="1:5" x14ac:dyDescent="0.25">
      <c r="A189" s="86"/>
      <c r="B189" s="231">
        <v>1036</v>
      </c>
      <c r="C189" s="62"/>
      <c r="D189" s="240">
        <f t="shared" si="3"/>
        <v>16.769933984805888</v>
      </c>
      <c r="E189" s="240"/>
    </row>
    <row r="190" spans="1:5" x14ac:dyDescent="0.25">
      <c r="A190" s="86"/>
      <c r="B190" s="231">
        <v>1037</v>
      </c>
      <c r="C190" s="62"/>
      <c r="D190" s="240">
        <f t="shared" si="3"/>
        <v>18.208281782302606</v>
      </c>
      <c r="E190" s="240"/>
    </row>
    <row r="191" spans="1:5" x14ac:dyDescent="0.25">
      <c r="A191" s="86"/>
      <c r="B191" s="231">
        <v>1038</v>
      </c>
      <c r="C191" s="62"/>
      <c r="D191" s="240">
        <f t="shared" si="3"/>
        <v>19.575586192403488</v>
      </c>
      <c r="E191" s="240"/>
    </row>
    <row r="192" spans="1:5" x14ac:dyDescent="0.25">
      <c r="A192" s="86"/>
      <c r="B192" s="231">
        <v>1039</v>
      </c>
      <c r="C192" s="62"/>
      <c r="D192" s="240">
        <f t="shared" si="3"/>
        <v>20.848327915670314</v>
      </c>
      <c r="E192" s="240"/>
    </row>
    <row r="193" spans="1:5" x14ac:dyDescent="0.25">
      <c r="A193" s="86"/>
      <c r="B193" s="231">
        <v>1040</v>
      </c>
      <c r="C193" s="62"/>
      <c r="D193" s="240">
        <f t="shared" si="3"/>
        <v>22.010081837586842</v>
      </c>
      <c r="E193" s="240"/>
    </row>
    <row r="194" spans="1:5" x14ac:dyDescent="0.25">
      <c r="A194" s="86"/>
      <c r="B194" s="231">
        <v>1041</v>
      </c>
      <c r="C194" s="62"/>
      <c r="D194" s="240">
        <f t="shared" si="3"/>
        <v>23.051731220282505</v>
      </c>
      <c r="E194" s="240"/>
    </row>
    <row r="195" spans="1:5" x14ac:dyDescent="0.25">
      <c r="A195" s="86"/>
      <c r="B195" s="231">
        <v>1042</v>
      </c>
      <c r="C195" s="62"/>
      <c r="D195" s="240">
        <f t="shared" si="3"/>
        <v>23.970823308250743</v>
      </c>
      <c r="E195" s="240"/>
    </row>
    <row r="196" spans="1:5" x14ac:dyDescent="0.25">
      <c r="A196" s="86"/>
      <c r="B196" s="231">
        <v>1043</v>
      </c>
      <c r="C196" s="62"/>
      <c r="D196" s="240">
        <f t="shared" si="3"/>
        <v>24.770364470929501</v>
      </c>
      <c r="E196" s="240"/>
    </row>
    <row r="197" spans="1:5" x14ac:dyDescent="0.25">
      <c r="A197" s="86"/>
      <c r="B197" s="231">
        <v>1044</v>
      </c>
      <c r="C197" s="62"/>
      <c r="D197" s="240">
        <f t="shared" si="3"/>
        <v>25.457373966661969</v>
      </c>
      <c r="E197" s="240"/>
    </row>
    <row r="198" spans="1:5" x14ac:dyDescent="0.25">
      <c r="A198" s="86"/>
      <c r="B198" s="231">
        <v>1045</v>
      </c>
      <c r="C198" s="62"/>
      <c r="D198" s="240">
        <f t="shared" si="3"/>
        <v>26.041457759699654</v>
      </c>
      <c r="E198" s="240"/>
    </row>
    <row r="199" spans="1:5" x14ac:dyDescent="0.25">
      <c r="A199" s="86"/>
      <c r="B199" s="231">
        <v>1046</v>
      </c>
      <c r="C199" s="62"/>
      <c r="D199" s="240">
        <f t="shared" si="3"/>
        <v>26.533571564414132</v>
      </c>
      <c r="E199" s="240"/>
    </row>
    <row r="200" spans="1:5" x14ac:dyDescent="0.25">
      <c r="A200" s="86"/>
      <c r="B200" s="231">
        <v>1047</v>
      </c>
      <c r="C200" s="62"/>
      <c r="D200" s="240">
        <f t="shared" si="3"/>
        <v>26.945051946855326</v>
      </c>
      <c r="E200" s="240"/>
    </row>
    <row r="201" spans="1:5" x14ac:dyDescent="0.25">
      <c r="A201" s="86"/>
      <c r="B201" s="231">
        <v>1048</v>
      </c>
      <c r="C201" s="62"/>
      <c r="D201" s="240">
        <f t="shared" si="3"/>
        <v>27.286925903539345</v>
      </c>
      <c r="E201" s="240"/>
    </row>
    <row r="202" spans="1:5" x14ac:dyDescent="0.25">
      <c r="A202" s="86"/>
      <c r="B202" s="231">
        <v>1049</v>
      </c>
      <c r="C202" s="62"/>
      <c r="D202" s="240">
        <f t="shared" si="3"/>
        <v>27.569467880690826</v>
      </c>
      <c r="E202" s="240"/>
    </row>
    <row r="203" spans="1:5" x14ac:dyDescent="0.25">
      <c r="A203" s="86"/>
      <c r="B203" s="231">
        <v>1050</v>
      </c>
      <c r="C203" s="62"/>
      <c r="D203" s="240">
        <f t="shared" si="3"/>
        <v>27.801954679140273</v>
      </c>
      <c r="E203" s="240"/>
    </row>
    <row r="204" spans="1:5" x14ac:dyDescent="0.25">
      <c r="A204" s="86"/>
      <c r="B204" s="231">
        <v>1051</v>
      </c>
      <c r="C204" s="62"/>
      <c r="D204" s="240">
        <f t="shared" si="3"/>
        <v>27.992565810292838</v>
      </c>
      <c r="E204" s="240"/>
    </row>
    <row r="205" spans="1:5" x14ac:dyDescent="0.25">
      <c r="A205" s="86"/>
      <c r="B205" s="231">
        <v>1052</v>
      </c>
      <c r="C205" s="62"/>
      <c r="D205" s="240">
        <f t="shared" si="3"/>
        <v>28.148382653522201</v>
      </c>
      <c r="E205" s="240"/>
    </row>
    <row r="206" spans="1:5" x14ac:dyDescent="0.25">
      <c r="A206" s="86"/>
      <c r="B206" s="231">
        <v>1053</v>
      </c>
      <c r="C206" s="62"/>
      <c r="D206" s="240">
        <f t="shared" si="3"/>
        <v>28.275449072828934</v>
      </c>
      <c r="E206" s="240"/>
    </row>
    <row r="207" spans="1:5" x14ac:dyDescent="0.25">
      <c r="A207" s="86"/>
      <c r="B207" s="231">
        <v>1054</v>
      </c>
      <c r="C207" s="62"/>
      <c r="D207" s="240">
        <f t="shared" si="3"/>
        <v>28.378865834156947</v>
      </c>
      <c r="E207" s="240"/>
    </row>
    <row r="208" spans="1:5" x14ac:dyDescent="0.25">
      <c r="A208" s="86"/>
      <c r="B208" s="231">
        <v>1055</v>
      </c>
      <c r="C208" s="62"/>
      <c r="D208" s="240">
        <f t="shared" si="3"/>
        <v>28.462899645755304</v>
      </c>
      <c r="E208" s="240"/>
    </row>
    <row r="209" spans="1:5" x14ac:dyDescent="0.25">
      <c r="A209" s="86"/>
      <c r="B209" s="231">
        <v>1056</v>
      </c>
      <c r="C209" s="62"/>
      <c r="D209" s="240">
        <f t="shared" si="3"/>
        <v>28.531094363087021</v>
      </c>
      <c r="E209" s="240"/>
    </row>
    <row r="210" spans="1:5" x14ac:dyDescent="0.25">
      <c r="A210" s="86"/>
      <c r="B210" s="231">
        <v>1057</v>
      </c>
      <c r="C210" s="62"/>
      <c r="D210" s="240">
        <f t="shared" si="3"/>
        <v>28.586376860974763</v>
      </c>
      <c r="E210" s="240"/>
    </row>
    <row r="211" spans="1:5" x14ac:dyDescent="0.25">
      <c r="A211" s="86"/>
      <c r="B211" s="231">
        <v>1058</v>
      </c>
      <c r="C211" s="62"/>
      <c r="D211" s="240">
        <f t="shared" si="3"/>
        <v>28.631153536772665</v>
      </c>
      <c r="E211" s="240"/>
    </row>
    <row r="212" spans="1:5" x14ac:dyDescent="0.25">
      <c r="A212" s="86"/>
      <c r="B212" s="231">
        <v>1059</v>
      </c>
      <c r="C212" s="62"/>
      <c r="D212" s="240">
        <f t="shared" si="3"/>
        <v>28.667395700220254</v>
      </c>
      <c r="E212" s="240"/>
    </row>
    <row r="213" spans="1:5" x14ac:dyDescent="0.25">
      <c r="A213" s="86"/>
      <c r="B213" s="231">
        <v>1060</v>
      </c>
      <c r="C213" s="62"/>
      <c r="D213" s="240">
        <f t="shared" si="3"/>
        <v>28.696713541363152</v>
      </c>
      <c r="E213" s="240"/>
    </row>
    <row r="214" spans="1:5" x14ac:dyDescent="0.25">
      <c r="A214" s="86"/>
      <c r="B214" s="231">
        <v>1061</v>
      </c>
      <c r="C214" s="62"/>
      <c r="D214" s="240">
        <f t="shared" si="3"/>
        <v>28.720419206703482</v>
      </c>
      <c r="E214" s="240"/>
    </row>
    <row r="215" spans="1:5" x14ac:dyDescent="0.25">
      <c r="A215" s="86"/>
      <c r="B215" s="231">
        <v>1062</v>
      </c>
      <c r="C215" s="62"/>
      <c r="D215" s="240">
        <f t="shared" si="3"/>
        <v>28.739579953849347</v>
      </c>
      <c r="E215" s="240"/>
    </row>
    <row r="216" spans="1:5" x14ac:dyDescent="0.25">
      <c r="A216" s="86"/>
      <c r="B216" s="231">
        <v>1063</v>
      </c>
      <c r="C216" s="62"/>
      <c r="D216" s="240">
        <f t="shared" si="3"/>
        <v>28.755062540020273</v>
      </c>
      <c r="E216" s="240"/>
    </row>
    <row r="217" spans="1:5" x14ac:dyDescent="0.25">
      <c r="A217" s="86"/>
      <c r="B217" s="231">
        <v>1064</v>
      </c>
      <c r="C217" s="62"/>
      <c r="D217" s="240">
        <f t="shared" si="3"/>
        <v>28.767570029626434</v>
      </c>
      <c r="E217" s="240"/>
    </row>
    <row r="218" spans="1:5" x14ac:dyDescent="0.25">
      <c r="A218" s="86"/>
      <c r="B218" s="231">
        <v>1065</v>
      </c>
      <c r="C218" s="62"/>
      <c r="D218" s="240">
        <f t="shared" si="3"/>
        <v>28.777672147639208</v>
      </c>
      <c r="E218" s="240"/>
    </row>
    <row r="219" spans="1:5" x14ac:dyDescent="0.25">
      <c r="A219" s="86"/>
      <c r="B219" s="231">
        <v>1066</v>
      </c>
      <c r="C219" s="62"/>
      <c r="D219" s="240">
        <f t="shared" ref="D219:D243" si="4">1+27.82/(1+EXP(7.44925-0.13322*((B219-1000)*1.609344)))</f>
        <v>28.785830201883979</v>
      </c>
      <c r="E219" s="240"/>
    </row>
    <row r="220" spans="1:5" x14ac:dyDescent="0.25">
      <c r="A220" s="86"/>
      <c r="B220" s="231">
        <v>1067</v>
      </c>
      <c r="C220" s="62"/>
      <c r="D220" s="240">
        <f t="shared" si="4"/>
        <v>28.792417475683553</v>
      </c>
      <c r="E220" s="240"/>
    </row>
    <row r="221" spans="1:5" x14ac:dyDescent="0.25">
      <c r="A221" s="86"/>
      <c r="B221" s="231">
        <v>1068</v>
      </c>
      <c r="C221" s="62"/>
      <c r="D221" s="240">
        <f t="shared" si="4"/>
        <v>28.797735868501317</v>
      </c>
      <c r="E221" s="240"/>
    </row>
    <row r="222" spans="1:5" x14ac:dyDescent="0.25">
      <c r="A222" s="86"/>
      <c r="B222" s="231">
        <v>1069</v>
      </c>
      <c r="C222" s="62"/>
      <c r="D222" s="240">
        <f t="shared" si="4"/>
        <v>28.802029445294771</v>
      </c>
      <c r="E222" s="240"/>
    </row>
    <row r="223" spans="1:5" x14ac:dyDescent="0.25">
      <c r="A223" s="86"/>
      <c r="B223" s="231">
        <v>1070</v>
      </c>
      <c r="C223" s="62"/>
      <c r="D223" s="240">
        <f t="shared" si="4"/>
        <v>28.805495449604326</v>
      </c>
      <c r="E223" s="240"/>
    </row>
    <row r="224" spans="1:5" x14ac:dyDescent="0.25">
      <c r="A224" s="86"/>
      <c r="B224" s="231">
        <v>1071</v>
      </c>
      <c r="C224" s="62"/>
      <c r="D224" s="240">
        <f t="shared" si="4"/>
        <v>28.808293242630992</v>
      </c>
      <c r="E224" s="240"/>
    </row>
    <row r="225" spans="1:5" x14ac:dyDescent="0.25">
      <c r="A225" s="86"/>
      <c r="B225" s="231">
        <v>1072</v>
      </c>
      <c r="C225" s="62"/>
      <c r="D225" s="240">
        <f t="shared" si="4"/>
        <v>28.810551550755843</v>
      </c>
      <c r="E225" s="240"/>
    </row>
    <row r="226" spans="1:5" x14ac:dyDescent="0.25">
      <c r="A226" s="86"/>
      <c r="B226" s="231">
        <v>1073</v>
      </c>
      <c r="C226" s="62"/>
      <c r="D226" s="240">
        <f t="shared" si="4"/>
        <v>28.812374336310025</v>
      </c>
      <c r="E226" s="240"/>
    </row>
    <row r="227" spans="1:5" x14ac:dyDescent="0.25">
      <c r="A227" s="86"/>
      <c r="B227" s="231">
        <v>1074</v>
      </c>
      <c r="C227" s="62"/>
      <c r="D227" s="240">
        <f t="shared" si="4"/>
        <v>28.813845549684064</v>
      </c>
      <c r="E227" s="240"/>
    </row>
    <row r="228" spans="1:5" x14ac:dyDescent="0.25">
      <c r="A228" s="86"/>
      <c r="B228" s="231">
        <v>1075</v>
      </c>
      <c r="C228" s="62"/>
      <c r="D228" s="240">
        <f t="shared" si="4"/>
        <v>28.815032973695452</v>
      </c>
      <c r="E228" s="240"/>
    </row>
    <row r="229" spans="1:5" x14ac:dyDescent="0.25">
      <c r="A229" s="86"/>
      <c r="B229" s="231">
        <v>1076</v>
      </c>
      <c r="C229" s="62"/>
      <c r="D229" s="240">
        <f t="shared" si="4"/>
        <v>28.815991332153004</v>
      </c>
      <c r="E229" s="240"/>
    </row>
    <row r="230" spans="1:5" x14ac:dyDescent="0.25">
      <c r="A230" s="86"/>
      <c r="B230" s="231">
        <v>1077</v>
      </c>
      <c r="C230" s="62"/>
      <c r="D230" s="240">
        <f t="shared" si="4"/>
        <v>28.816764802500284</v>
      </c>
      <c r="E230" s="240"/>
    </row>
    <row r="231" spans="1:5" x14ac:dyDescent="0.25">
      <c r="A231" s="86"/>
      <c r="B231" s="231">
        <v>1078</v>
      </c>
      <c r="C231" s="62"/>
      <c r="D231" s="240">
        <f t="shared" si="4"/>
        <v>28.817389046160418</v>
      </c>
      <c r="E231" s="240"/>
    </row>
    <row r="232" spans="1:5" x14ac:dyDescent="0.25">
      <c r="A232" s="86"/>
      <c r="B232" s="231">
        <v>1079</v>
      </c>
      <c r="C232" s="62"/>
      <c r="D232" s="240">
        <f t="shared" si="4"/>
        <v>28.817892848756745</v>
      </c>
      <c r="E232" s="240"/>
    </row>
    <row r="233" spans="1:5" x14ac:dyDescent="0.25">
      <c r="A233" s="86"/>
      <c r="B233" s="231">
        <v>1080</v>
      </c>
      <c r="C233" s="62"/>
      <c r="D233" s="240">
        <f t="shared" si="4"/>
        <v>28.818299444908561</v>
      </c>
      <c r="E233" s="240"/>
    </row>
    <row r="234" spans="1:5" x14ac:dyDescent="0.25">
      <c r="A234" s="86"/>
      <c r="B234" s="231">
        <v>1081</v>
      </c>
      <c r="C234" s="62"/>
      <c r="D234" s="240">
        <f t="shared" si="4"/>
        <v>28.8186275880898</v>
      </c>
      <c r="E234" s="240"/>
    </row>
    <row r="235" spans="1:5" x14ac:dyDescent="0.25">
      <c r="A235" s="86"/>
      <c r="B235" s="231">
        <v>1082</v>
      </c>
      <c r="C235" s="62"/>
      <c r="D235" s="240">
        <f t="shared" si="4"/>
        <v>28.818892414498336</v>
      </c>
      <c r="E235" s="240"/>
    </row>
    <row r="236" spans="1:5" x14ac:dyDescent="0.25">
      <c r="A236" s="86"/>
      <c r="B236" s="231">
        <v>1083</v>
      </c>
      <c r="C236" s="62"/>
      <c r="D236" s="240">
        <f t="shared" si="4"/>
        <v>28.81910614052466</v>
      </c>
      <c r="E236" s="240"/>
    </row>
    <row r="237" spans="1:5" x14ac:dyDescent="0.25">
      <c r="A237" s="86"/>
      <c r="B237" s="231">
        <v>1084</v>
      </c>
      <c r="C237" s="62"/>
      <c r="D237" s="240">
        <f t="shared" si="4"/>
        <v>28.819278625825312</v>
      </c>
      <c r="E237" s="240"/>
    </row>
    <row r="238" spans="1:5" x14ac:dyDescent="0.25">
      <c r="A238" s="86"/>
      <c r="B238" s="231">
        <v>1085</v>
      </c>
      <c r="C238" s="62"/>
      <c r="D238" s="240">
        <f t="shared" si="4"/>
        <v>28.819417827867071</v>
      </c>
      <c r="E238" s="240"/>
    </row>
    <row r="239" spans="1:5" x14ac:dyDescent="0.25">
      <c r="A239" s="86"/>
      <c r="B239" s="231">
        <v>1086</v>
      </c>
      <c r="C239" s="62"/>
      <c r="D239" s="240">
        <f t="shared" si="4"/>
        <v>28.819530168840252</v>
      </c>
      <c r="E239" s="240"/>
    </row>
    <row r="240" spans="1:5" x14ac:dyDescent="0.25">
      <c r="A240" s="86"/>
      <c r="B240" s="231">
        <v>1087</v>
      </c>
      <c r="C240" s="62"/>
      <c r="D240" s="240">
        <f t="shared" si="4"/>
        <v>28.819620831822462</v>
      </c>
      <c r="E240" s="240"/>
    </row>
    <row r="241" spans="1:5" x14ac:dyDescent="0.25">
      <c r="A241" s="86"/>
      <c r="B241" s="231">
        <v>1088</v>
      </c>
      <c r="C241" s="62"/>
      <c r="D241" s="240">
        <f t="shared" si="4"/>
        <v>28.819693999826402</v>
      </c>
      <c r="E241" s="240"/>
    </row>
    <row r="242" spans="1:5" x14ac:dyDescent="0.25">
      <c r="A242" s="86"/>
      <c r="B242" s="231">
        <v>1089</v>
      </c>
      <c r="C242" s="62"/>
      <c r="D242" s="240">
        <f t="shared" si="4"/>
        <v>28.819753048741251</v>
      </c>
      <c r="E242" s="240"/>
    </row>
    <row r="243" spans="1:5" x14ac:dyDescent="0.25">
      <c r="A243" s="86"/>
      <c r="B243" s="231">
        <v>1090</v>
      </c>
      <c r="C243" s="62"/>
      <c r="D243" s="240">
        <f t="shared" si="4"/>
        <v>28.819800703056796</v>
      </c>
      <c r="E243" s="240"/>
    </row>
    <row r="244" spans="1:5" x14ac:dyDescent="0.25">
      <c r="A244" s="62"/>
      <c r="B244" s="62"/>
      <c r="C244" s="62"/>
      <c r="D244" s="62"/>
      <c r="E244" s="62"/>
    </row>
    <row r="276" spans="2:2" x14ac:dyDescent="0.25">
      <c r="B276"/>
    </row>
    <row r="277" spans="2:2" x14ac:dyDescent="0.25">
      <c r="B277"/>
    </row>
  </sheetData>
  <mergeCells count="1">
    <mergeCell ref="A3:A1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Front page</vt:lpstr>
      <vt:lpstr>Upload_data</vt:lpstr>
      <vt:lpstr>Demonstrator</vt:lpstr>
      <vt:lpstr>Results</vt:lpstr>
      <vt:lpstr>CycleRAP Model</vt:lpstr>
      <vt:lpstr>Validation Rules</vt:lpstr>
      <vt:lpstr>STM Results</vt:lpstr>
      <vt:lpstr>STM</vt:lpstr>
      <vt:lpstr>Automation_page</vt:lpstr>
      <vt:lpstr>Upload spec</vt:lpstr>
      <vt:lpstr>Terms and conditions</vt:lpstr>
      <vt:lpstr>Model Updates - 28.06.24</vt:lpstr>
      <vt:lpstr>Speed risk factors</vt:lpstr>
      <vt:lpstr>oCarriageway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James</dc:creator>
  <cp:keywords/>
  <dc:description/>
  <cp:lastModifiedBy>Puay Ping KOH (LTA)</cp:lastModifiedBy>
  <cp:revision/>
  <dcterms:created xsi:type="dcterms:W3CDTF">2016-07-14T12:27:30Z</dcterms:created>
  <dcterms:modified xsi:type="dcterms:W3CDTF">2025-06-18T09:30:44Z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4803508-8490-4252-b331-d9b72689e942_Enabled">
    <vt:lpwstr>true</vt:lpwstr>
  </property>
  <property fmtid="{D5CDD505-2E9C-101B-9397-08002B2CF9AE}" pid="3" name="MSIP_Label_54803508-8490-4252-b331-d9b72689e942_SetDate">
    <vt:lpwstr>2025-04-17T08:56:23Z</vt:lpwstr>
  </property>
  <property fmtid="{D5CDD505-2E9C-101B-9397-08002B2CF9AE}" pid="4" name="MSIP_Label_54803508-8490-4252-b331-d9b72689e942_Method">
    <vt:lpwstr>Privileged</vt:lpwstr>
  </property>
  <property fmtid="{D5CDD505-2E9C-101B-9397-08002B2CF9AE}" pid="5" name="MSIP_Label_54803508-8490-4252-b331-d9b72689e942_Name">
    <vt:lpwstr>Non Sensitive_0</vt:lpwstr>
  </property>
  <property fmtid="{D5CDD505-2E9C-101B-9397-08002B2CF9AE}" pid="6" name="MSIP_Label_54803508-8490-4252-b331-d9b72689e942_SiteId">
    <vt:lpwstr>0b11c524-9a1c-4e1b-84cb-6336aefc2243</vt:lpwstr>
  </property>
  <property fmtid="{D5CDD505-2E9C-101B-9397-08002B2CF9AE}" pid="7" name="MSIP_Label_54803508-8490-4252-b331-d9b72689e942_ActionId">
    <vt:lpwstr>3dafd1c1-d4e1-449c-8b65-7553a79b94e7</vt:lpwstr>
  </property>
  <property fmtid="{D5CDD505-2E9C-101B-9397-08002B2CF9AE}" pid="8" name="MSIP_Label_54803508-8490-4252-b331-d9b72689e942_ContentBits">
    <vt:lpwstr>0</vt:lpwstr>
  </property>
</Properties>
</file>